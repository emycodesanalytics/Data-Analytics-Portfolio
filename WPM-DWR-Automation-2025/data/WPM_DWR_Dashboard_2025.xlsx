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EmyCodes\Desktop\"/>
    </mc:Choice>
  </mc:AlternateContent>
  <xr:revisionPtr revIDLastSave="0" documentId="13_ncr:1_{13F944B0-21BF-47B8-B231-20F48F4057FE}" xr6:coauthVersionLast="47" xr6:coauthVersionMax="47" xr10:uidLastSave="{00000000-0000-0000-0000-000000000000}"/>
  <workbookProtection workbookAlgorithmName="SHA-512" workbookHashValue="ruJ0s0ERlZ1y0QgeNB1KgF9dwLxVaIeLZ5QAqzkUbx/IBzBa62dyt2uH2uQ/cF895iGUZFSA7sQXtZtI4N/iHw==" workbookSaltValue="DiZIDD2Z32EqpKyd0R2zUg==" workbookSpinCount="100000" lockStructure="1"/>
  <bookViews>
    <workbookView xWindow="-120" yWindow="-120" windowWidth="20730" windowHeight="11760" tabRatio="749" activeTab="3" xr2:uid="{00000000-000D-0000-FFFF-FFFF00000000}"/>
  </bookViews>
  <sheets>
    <sheet name="2025 DWR Respondents" sheetId="1" r:id="rId1"/>
    <sheet name="Individual Submission" sheetId="10" r:id="rId2"/>
    <sheet name="Branch Submission" sheetId="11" r:id="rId3"/>
    <sheet name="Monthly Submission" sheetId="12" r:id="rId4"/>
    <sheet name="Dashboard" sheetId="13" r:id="rId5"/>
  </sheets>
  <definedNames>
    <definedName name="_xlnm._FilterDatabase" localSheetId="0" hidden="1">'2025 DWR Respondents'!$A$1:$Y$70</definedName>
    <definedName name="_xlchart.v2.0" hidden="1">'Individual Submission'!$C$2:$C$17</definedName>
    <definedName name="_xlchart.v2.1" hidden="1">'Individual Submission'!$Q$2:$Q$17</definedName>
    <definedName name="_xlchart.v2.2" hidden="1">'Individual Submission'!$C$2:$C$17</definedName>
    <definedName name="_xlchart.v2.3" hidden="1">'Individual Submission'!$Q$2:$Q$17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1" l="1"/>
  <c r="B4" i="11"/>
  <c r="B5" i="11"/>
  <c r="B6" i="11"/>
  <c r="M6" i="11"/>
  <c r="L6" i="11"/>
  <c r="K6" i="11"/>
  <c r="J6" i="11"/>
  <c r="I6" i="11"/>
  <c r="H6" i="11"/>
  <c r="G6" i="11"/>
  <c r="F6" i="11"/>
  <c r="E6" i="11"/>
  <c r="D6" i="11"/>
  <c r="C6" i="11"/>
  <c r="M5" i="11"/>
  <c r="L5" i="11"/>
  <c r="K5" i="11"/>
  <c r="J5" i="11"/>
  <c r="I5" i="11"/>
  <c r="H5" i="11"/>
  <c r="G5" i="11"/>
  <c r="F5" i="11"/>
  <c r="E5" i="11"/>
  <c r="D5" i="11"/>
  <c r="C5" i="11"/>
  <c r="M4" i="11"/>
  <c r="L4" i="11"/>
  <c r="K4" i="11"/>
  <c r="J4" i="11"/>
  <c r="I4" i="11"/>
  <c r="H4" i="11"/>
  <c r="G4" i="11"/>
  <c r="F4" i="11"/>
  <c r="E4" i="11"/>
  <c r="D4" i="11"/>
  <c r="C4" i="11"/>
  <c r="M3" i="11"/>
  <c r="L3" i="11"/>
  <c r="K3" i="11"/>
  <c r="J3" i="11"/>
  <c r="I3" i="11"/>
  <c r="H3" i="11"/>
  <c r="G3" i="11"/>
  <c r="F3" i="11"/>
  <c r="E3" i="11"/>
  <c r="D3" i="11"/>
  <c r="C3" i="11"/>
  <c r="M2" i="11"/>
  <c r="L2" i="11"/>
  <c r="K2" i="11"/>
  <c r="J2" i="11"/>
  <c r="I2" i="11"/>
  <c r="H2" i="11"/>
  <c r="G2" i="11"/>
  <c r="F2" i="11"/>
  <c r="E2" i="11"/>
  <c r="D2" i="11"/>
  <c r="C2" i="11"/>
  <c r="B2" i="11"/>
  <c r="F3" i="10"/>
  <c r="F4" i="10"/>
  <c r="F5" i="10"/>
  <c r="F6" i="10"/>
  <c r="F7" i="10"/>
  <c r="F8" i="10"/>
  <c r="F9" i="10"/>
  <c r="F10" i="10"/>
  <c r="F11" i="10"/>
  <c r="F12" i="10"/>
  <c r="F13" i="10"/>
  <c r="F14" i="10"/>
  <c r="F15" i="10"/>
  <c r="F16" i="10"/>
  <c r="F17" i="10"/>
  <c r="F2" i="10"/>
  <c r="G3" i="10"/>
  <c r="H3" i="10"/>
  <c r="I3" i="10"/>
  <c r="J3" i="10"/>
  <c r="K3" i="10"/>
  <c r="L3" i="10"/>
  <c r="M3" i="10"/>
  <c r="N3" i="10"/>
  <c r="O3" i="10"/>
  <c r="P3" i="10"/>
  <c r="G4" i="10"/>
  <c r="H4" i="10"/>
  <c r="I4" i="10"/>
  <c r="J4" i="10"/>
  <c r="K4" i="10"/>
  <c r="L4" i="10"/>
  <c r="M4" i="10"/>
  <c r="N4" i="10"/>
  <c r="O4" i="10"/>
  <c r="P4" i="10"/>
  <c r="G5" i="10"/>
  <c r="H5" i="10"/>
  <c r="I5" i="10"/>
  <c r="J5" i="10"/>
  <c r="K5" i="10"/>
  <c r="L5" i="10"/>
  <c r="M5" i="10"/>
  <c r="N5" i="10"/>
  <c r="O5" i="10"/>
  <c r="P5" i="10"/>
  <c r="G6" i="10"/>
  <c r="H6" i="10"/>
  <c r="I6" i="10"/>
  <c r="J6" i="10"/>
  <c r="K6" i="10"/>
  <c r="L6" i="10"/>
  <c r="M6" i="10"/>
  <c r="N6" i="10"/>
  <c r="O6" i="10"/>
  <c r="P6" i="10"/>
  <c r="G7" i="10"/>
  <c r="H7" i="10"/>
  <c r="I7" i="10"/>
  <c r="J7" i="10"/>
  <c r="K7" i="10"/>
  <c r="L7" i="10"/>
  <c r="M7" i="10"/>
  <c r="N7" i="10"/>
  <c r="O7" i="10"/>
  <c r="P7" i="10"/>
  <c r="G8" i="10"/>
  <c r="H8" i="10"/>
  <c r="I8" i="10"/>
  <c r="J8" i="10"/>
  <c r="K8" i="10"/>
  <c r="L8" i="10"/>
  <c r="M8" i="10"/>
  <c r="N8" i="10"/>
  <c r="O8" i="10"/>
  <c r="P8" i="10"/>
  <c r="G9" i="10"/>
  <c r="H9" i="10"/>
  <c r="I9" i="10"/>
  <c r="J9" i="10"/>
  <c r="K9" i="10"/>
  <c r="L9" i="10"/>
  <c r="M9" i="10"/>
  <c r="N9" i="10"/>
  <c r="O9" i="10"/>
  <c r="P9" i="10"/>
  <c r="G10" i="10"/>
  <c r="H10" i="10"/>
  <c r="I10" i="10"/>
  <c r="J10" i="10"/>
  <c r="K10" i="10"/>
  <c r="L10" i="10"/>
  <c r="M10" i="10"/>
  <c r="N10" i="10"/>
  <c r="O10" i="10"/>
  <c r="P10" i="10"/>
  <c r="G11" i="10"/>
  <c r="H11" i="10"/>
  <c r="I11" i="10"/>
  <c r="J11" i="10"/>
  <c r="K11" i="10"/>
  <c r="L11" i="10"/>
  <c r="M11" i="10"/>
  <c r="N11" i="10"/>
  <c r="O11" i="10"/>
  <c r="P11" i="10"/>
  <c r="G12" i="10"/>
  <c r="H12" i="10"/>
  <c r="I12" i="10"/>
  <c r="J12" i="10"/>
  <c r="K12" i="10"/>
  <c r="L12" i="10"/>
  <c r="M12" i="10"/>
  <c r="N12" i="10"/>
  <c r="O12" i="10"/>
  <c r="P12" i="10"/>
  <c r="G13" i="10"/>
  <c r="H13" i="10"/>
  <c r="I13" i="10"/>
  <c r="J13" i="10"/>
  <c r="K13" i="10"/>
  <c r="L13" i="10"/>
  <c r="M13" i="10"/>
  <c r="N13" i="10"/>
  <c r="O13" i="10"/>
  <c r="P13" i="10"/>
  <c r="G14" i="10"/>
  <c r="H14" i="10"/>
  <c r="I14" i="10"/>
  <c r="J14" i="10"/>
  <c r="K14" i="10"/>
  <c r="L14" i="10"/>
  <c r="M14" i="10"/>
  <c r="N14" i="10"/>
  <c r="O14" i="10"/>
  <c r="P14" i="10"/>
  <c r="G15" i="10"/>
  <c r="H15" i="10"/>
  <c r="I15" i="10"/>
  <c r="J15" i="10"/>
  <c r="K15" i="10"/>
  <c r="L15" i="10"/>
  <c r="M15" i="10"/>
  <c r="N15" i="10"/>
  <c r="O15" i="10"/>
  <c r="P15" i="10"/>
  <c r="G16" i="10"/>
  <c r="H16" i="10"/>
  <c r="I16" i="10"/>
  <c r="J16" i="10"/>
  <c r="K16" i="10"/>
  <c r="L16" i="10"/>
  <c r="M16" i="10"/>
  <c r="N16" i="10"/>
  <c r="O16" i="10"/>
  <c r="P16" i="10"/>
  <c r="G17" i="10"/>
  <c r="H17" i="10"/>
  <c r="I17" i="10"/>
  <c r="J17" i="10"/>
  <c r="K17" i="10"/>
  <c r="L17" i="10"/>
  <c r="M17" i="10"/>
  <c r="N17" i="10"/>
  <c r="O17" i="10"/>
  <c r="P17" i="10"/>
  <c r="P2" i="10"/>
  <c r="O2" i="10"/>
  <c r="N2" i="10"/>
  <c r="M2" i="10"/>
  <c r="L2" i="10"/>
  <c r="K2" i="10"/>
  <c r="J2" i="10"/>
  <c r="I2" i="10"/>
  <c r="H2" i="10"/>
  <c r="G2" i="10"/>
  <c r="E3" i="10"/>
  <c r="E4" i="10"/>
  <c r="E5" i="10"/>
  <c r="E6" i="10"/>
  <c r="E7" i="10"/>
  <c r="E8" i="10"/>
  <c r="E9" i="10"/>
  <c r="E10" i="10"/>
  <c r="E11" i="10"/>
  <c r="E12" i="10"/>
  <c r="E13" i="10"/>
  <c r="E14" i="10"/>
  <c r="E15" i="10"/>
  <c r="E16" i="10"/>
  <c r="E17" i="10"/>
  <c r="E2" i="10"/>
  <c r="C3" i="10"/>
  <c r="D3" i="10"/>
  <c r="C4" i="10"/>
  <c r="D4" i="10"/>
  <c r="C5" i="10"/>
  <c r="D5" i="10"/>
  <c r="C6" i="10"/>
  <c r="D6" i="10"/>
  <c r="C7" i="10"/>
  <c r="D7" i="10"/>
  <c r="C8" i="10"/>
  <c r="D8" i="10"/>
  <c r="C9" i="10"/>
  <c r="D9" i="10"/>
  <c r="C10" i="10"/>
  <c r="D10" i="10"/>
  <c r="C11" i="10"/>
  <c r="D11" i="10"/>
  <c r="C12" i="10"/>
  <c r="D12" i="10"/>
  <c r="C13" i="10"/>
  <c r="D13" i="10"/>
  <c r="C14" i="10"/>
  <c r="D14" i="10"/>
  <c r="C15" i="10"/>
  <c r="D15" i="10"/>
  <c r="C16" i="10"/>
  <c r="D16" i="10"/>
  <c r="C17" i="10"/>
  <c r="D17" i="10"/>
  <c r="C2" i="10"/>
  <c r="D2" i="10"/>
  <c r="B3" i="12" l="1"/>
  <c r="B11" i="12"/>
  <c r="B4" i="12"/>
  <c r="B8" i="12"/>
  <c r="B12" i="12"/>
  <c r="B5" i="12"/>
  <c r="B9" i="12"/>
  <c r="B13" i="12"/>
  <c r="B2" i="12"/>
  <c r="B7" i="12"/>
  <c r="B10" i="12"/>
  <c r="B6" i="12"/>
  <c r="Q12" i="10"/>
  <c r="N6" i="11"/>
  <c r="N3" i="11"/>
  <c r="N4" i="11"/>
  <c r="N5" i="11"/>
  <c r="Q15" i="10"/>
  <c r="Q2" i="10"/>
  <c r="Q8" i="10"/>
  <c r="Q3" i="10"/>
  <c r="Q11" i="10"/>
  <c r="Q7" i="10"/>
  <c r="Q5" i="10"/>
  <c r="Q16" i="10"/>
  <c r="Q9" i="10"/>
  <c r="Q4" i="10"/>
  <c r="Q10" i="10"/>
  <c r="Q14" i="10"/>
  <c r="Q13" i="10"/>
  <c r="N2" i="11"/>
  <c r="Q6" i="10"/>
  <c r="Q17" i="10"/>
  <c r="B14" i="12" l="1"/>
</calcChain>
</file>

<file path=xl/sharedStrings.xml><?xml version="1.0" encoding="utf-8"?>
<sst xmlns="http://schemas.openxmlformats.org/spreadsheetml/2006/main" count="1914" uniqueCount="759">
  <si>
    <t>Email Address</t>
  </si>
  <si>
    <t>Month</t>
  </si>
  <si>
    <t>Week</t>
  </si>
  <si>
    <t>Worker's Full Name</t>
  </si>
  <si>
    <t>Branch</t>
  </si>
  <si>
    <t>How many days did you join church WhatsApp Prayer?</t>
  </si>
  <si>
    <t>How has participating in WhatsApp prayer impacted your spiritual life?</t>
  </si>
  <si>
    <t>Did you attend Bible Study?</t>
  </si>
  <si>
    <t>If YES above, What specific insight did you gain from the Bible study this week?</t>
  </si>
  <si>
    <t>Did you attend Gethsemane/Vigil/House Fellowship?</t>
  </si>
  <si>
    <t>If YES above,  What was the most impactful moment or teaching from this gathering?</t>
  </si>
  <si>
    <t>Kindly Upload the Written Notes of Your Weekly Bible Study</t>
  </si>
  <si>
    <t>Have you given towards Church Project  Contribution?</t>
  </si>
  <si>
    <t>If NO, what challenges are preventing you from making your financial contributions?</t>
  </si>
  <si>
    <t>Did you listen to (or watch) THE WORD OF HIS GRACE on Diamond 88.5FM?</t>
  </si>
  <si>
    <t>If YES, how has listening to 'The Word of His Grace' inspired you to live a more Christ-like life?</t>
  </si>
  <si>
    <t>Did you go for Evangelism?</t>
  </si>
  <si>
    <t>If YES, What is  the total number of People Saved?</t>
  </si>
  <si>
    <t>Kindly upload a Well Written Evangelism Record
(Follow the template given above)</t>
  </si>
  <si>
    <t>Additional Comment(s)</t>
  </si>
  <si>
    <t>Did you visit your Disciple(s)?</t>
  </si>
  <si>
    <t>If NO, why?</t>
  </si>
  <si>
    <t>oniyiderebecca17@gmail.com</t>
  </si>
  <si>
    <t>January</t>
  </si>
  <si>
    <t>Week 2</t>
  </si>
  <si>
    <t>University of Ilesa, Osun State</t>
  </si>
  <si>
    <t xml:space="preserve">Mostly in the morning </t>
  </si>
  <si>
    <t xml:space="preserve">It has help to maintain a consistent prayer life </t>
  </si>
  <si>
    <t>Yes</t>
  </si>
  <si>
    <t>https://drive.google.com/open?id=19ODOlAd89TQgO4kyPS6-Z-xhicmTAXAS</t>
  </si>
  <si>
    <t>https://drive.google.com/open?id=14fBPwMyKlIcut6umZEBAiCgwY59BTDuS</t>
  </si>
  <si>
    <t>https://drive.google.com/open?id=12LzUt1oKBXX_eZrsh8BITzbzqaZrVM8g</t>
  </si>
  <si>
    <t>No</t>
  </si>
  <si>
    <t xml:space="preserve">Have spent a lot for the festive season. </t>
  </si>
  <si>
    <t>Am blessed and edified through the word</t>
  </si>
  <si>
    <t>https://drive.google.com/open?id=1QzPNUc9cEHVsNv6o53pM4cxFmtgebsNK</t>
  </si>
  <si>
    <t>I visited her</t>
  </si>
  <si>
    <t>https://drive.google.com/open?id=1M4g8XQRlPgj1j0i-vKnz3rcSl-Y-QtG2</t>
  </si>
  <si>
    <t>Adetumiadefokun@gmail.com</t>
  </si>
  <si>
    <t>Week 5</t>
  </si>
  <si>
    <t>Ipetu-Ijesha, Osun State</t>
  </si>
  <si>
    <t xml:space="preserve">6days </t>
  </si>
  <si>
    <t xml:space="preserve">To pray better </t>
  </si>
  <si>
    <t>https://drive.google.com/open?id=11s2Yzi6MFSapxj50Oyy2TgCCCDhLBTzt</t>
  </si>
  <si>
    <t>https://drive.google.com/open?id=1UflfGiaE0a6EsDFSIqIU58FxCOruAEqYQNXNXWBaEIY</t>
  </si>
  <si>
    <t>https://drive.google.com/open?id=1FvzrE4CjqdpK6WAW2UNRzOjqbGgnAeOx</t>
  </si>
  <si>
    <t>To know more about grace of God</t>
  </si>
  <si>
    <t>https://drive.google.com/open?id=1Z8ma06GtF4RX_fidb-R-o_IFCo74IcK-</t>
  </si>
  <si>
    <t>G</t>
  </si>
  <si>
    <t>https://drive.google.com/open?id=1Z-zqSWn6FVLIk0tfxLsTL9JtQsKtNznx</t>
  </si>
  <si>
    <t>akerewusioluwadamilare@gmail.com</t>
  </si>
  <si>
    <t>Every day</t>
  </si>
  <si>
    <t>It has been helpful.</t>
  </si>
  <si>
    <t>https://drive.google.com/open?id=1GEhuEzxZtlKE3XljleCm2a21hDzC9lBZ, https://drive.google.com/open?id=1UyYq_6K8jc_Cv3dMg94rEX2wUulfQp_Z</t>
  </si>
  <si>
    <t>https://drive.google.com/open?id=1ZIo_9CSnJzaff9-YXMtIn2YIRz4jW-0h</t>
  </si>
  <si>
    <t>https://drive.google.com/open?id=1ne2Ch_45MkmyE0p2J4iLPGeXyI9v3Ptn</t>
  </si>
  <si>
    <t>It has been helpful as reminder to the basics of Christianity.</t>
  </si>
  <si>
    <t>I don't understand this question. It is not clear because it's not detailed enough or not specific.</t>
  </si>
  <si>
    <t>https://drive.google.com/open?id=1CEJKw6yUIfqLCJBmDv56-Tm7qQ_h6dFO</t>
  </si>
  <si>
    <t>Nil</t>
  </si>
  <si>
    <t>https://drive.google.com/open?id=11MtNOIWgYhduUjNewUpMT_gK5YDZyTIF</t>
  </si>
  <si>
    <t>Kindly work on the asterisk question very well.</t>
  </si>
  <si>
    <t>akinleyeayomidedeborah@gmail.com</t>
  </si>
  <si>
    <t>February</t>
  </si>
  <si>
    <t>Week 1</t>
  </si>
  <si>
    <t>Health Tech Bolorunduro, Ilesa, Osun State</t>
  </si>
  <si>
    <t xml:space="preserve">Fervent more </t>
  </si>
  <si>
    <t>https://drive.google.com/open?id=185OMPGpyV14_3Ywf9ikUou7KGMtY-GSp</t>
  </si>
  <si>
    <t>https://drive.google.com/open?id=1CPohZLzy0xQHwGwfnESGOwq2itUttN56</t>
  </si>
  <si>
    <t>https://drive.google.com/open?id=1bE0Z4KsReUSR9c07jcDd9PMZDimfMHUH</t>
  </si>
  <si>
    <t>Know more about Christ</t>
  </si>
  <si>
    <t>https://drive.google.com/open?id=1zAnsjfeTZX-VOHRHNtJ_S_-SJfpMll_V</t>
  </si>
  <si>
    <t xml:space="preserve">Not around </t>
  </si>
  <si>
    <t>https://drive.google.com/open?id=1r-oflYql2aDq1jNOVeGSMK75y23adjbI</t>
  </si>
  <si>
    <t>lorleybee@gmail.com</t>
  </si>
  <si>
    <t>Esa-Oke, Osun State</t>
  </si>
  <si>
    <t>5days</t>
  </si>
  <si>
    <t xml:space="preserve">To pray for other things </t>
  </si>
  <si>
    <t>https://drive.google.com/open?id=1fR-yR93yhIOMmdx8U029wEIOQnUEh_XlyGlU-Y8rnJw</t>
  </si>
  <si>
    <t>https://drive.google.com/open?id=1S-IhWZQ-1eihxDpjxA5PIf2LQzPvw6BOGhFhgX-W_Eg</t>
  </si>
  <si>
    <t>https://drive.google.com/open?id=1IftDr8MhE7fUDg7G6cICTQIu47scNeJdxmkkB77DnAU</t>
  </si>
  <si>
    <t xml:space="preserve">Excellent </t>
  </si>
  <si>
    <t>Three</t>
  </si>
  <si>
    <t>https://drive.google.com/open?id=1rkh0G1EHc77ffH0Xap53q7kQL4ZLZRsKc1ABcaKRzrw</t>
  </si>
  <si>
    <t xml:space="preserve">Nothing yet
</t>
  </si>
  <si>
    <t>None</t>
  </si>
  <si>
    <t>https://drive.google.com/open?id=1JHm4IGcPhhG1LxdGDcFNuwGbs9jRw3z2gl9aCbD155o</t>
  </si>
  <si>
    <t xml:space="preserve">None </t>
  </si>
  <si>
    <t>ogundareolamideemmanuel@gmail.com</t>
  </si>
  <si>
    <t>Headquarters, Egbe-Idi, Ilesa, Osun State</t>
  </si>
  <si>
    <t xml:space="preserve">It has Greatly impacted me. </t>
  </si>
  <si>
    <t>https://drive.google.com/open?id=1fSL9D6FHxSya6yL_SEPT53g7yIterv3T</t>
  </si>
  <si>
    <t>https://drive.google.com/open?id=1nVBMs0zdlZ9h4u5GpJY_ijErZtBhxw63</t>
  </si>
  <si>
    <t>https://drive.google.com/open?id=1chXvHdx4rIQT5o9cpw5gz6WpcpQLsq2O</t>
  </si>
  <si>
    <t xml:space="preserve">Greatly </t>
  </si>
  <si>
    <t>https://drive.google.com/open?id=17nmzid0PBEFr0t4wka16u8sTjoAquQX6</t>
  </si>
  <si>
    <t>Nay</t>
  </si>
  <si>
    <t>https://drive.google.com/open?id=1tjZi2HgMhAFu66B1kYlw_spkH3scVTe5</t>
  </si>
  <si>
    <t>Week 3</t>
  </si>
  <si>
    <t>https://drive.google.com/open?id=1d9D6wVtvdjybQ3YqafaHb-_wy7xeogx7</t>
  </si>
  <si>
    <t>https://drive.google.com/open?id=13XtZlSXkpJT4L05EU89nctUqUCyRntYO</t>
  </si>
  <si>
    <t>https://drive.google.com/open?id=1THskM0tFk7LyOdj1kB8lR4-J8JrTq8dq</t>
  </si>
  <si>
    <t>https://drive.google.com/open?id=1s87JJQFRkOr3nUG89SwwcGq23nD_NgNb</t>
  </si>
  <si>
    <t>https://drive.google.com/open?id=1a8bFwB7AVhHrk_9ewg25V36rCvZQyXoh</t>
  </si>
  <si>
    <t>abattayo@gmail.com</t>
  </si>
  <si>
    <t xml:space="preserve">Positively </t>
  </si>
  <si>
    <t>https://drive.google.com/open?id=1gSFrS7XCuxeAk4Zh62ehLJe302pWSQC3</t>
  </si>
  <si>
    <t>https://drive.google.com/open?id=1o99cb9VzbBhRj45lC_i_T0SYTt8au4Tm</t>
  </si>
  <si>
    <t>https://drive.google.com/open?id=1YBwSEYcHdI4U8fbjQad0gasI1Qj1IvUk</t>
  </si>
  <si>
    <t xml:space="preserve">Incoming </t>
  </si>
  <si>
    <t xml:space="preserve">Great </t>
  </si>
  <si>
    <t>Gfc</t>
  </si>
  <si>
    <t>https://drive.google.com/open?id=1KHDcKKiQdCqHvUAjxAch0xWIWX91sFi6</t>
  </si>
  <si>
    <t>Ggff</t>
  </si>
  <si>
    <t>Fhh</t>
  </si>
  <si>
    <t>https://drive.google.com/open?id=17JGVwh1hHc-wc84P5tzckg-K1SXhyaiD</t>
  </si>
  <si>
    <t>Ggsh</t>
  </si>
  <si>
    <t>oyewumimary99@gmail.com</t>
  </si>
  <si>
    <t>It has helped me in having personal prayer life</t>
  </si>
  <si>
    <t xml:space="preserve">I didn't attend Bible study </t>
  </si>
  <si>
    <t xml:space="preserve">I was not in Bible study </t>
  </si>
  <si>
    <t>https://drive.google.com/open?id=1xzUiCwwIkGaYfwcO9h0vBm6AN_tVKCCc</t>
  </si>
  <si>
    <t>I don't have much yet</t>
  </si>
  <si>
    <t xml:space="preserve">Righteousness 
We have two kinds of righteousness 
Self righteousness Deut6 verse 25 and God kind of righteousness Rom3 verse 19
Nobody can be made righteous by keeping the law because it's the law that made sin known 
God kind of righteousness it's faith in death burial and resurrection of Christ </t>
  </si>
  <si>
    <t>https://drive.google.com/open?id=1xF9VwNdQkIjFTK37ZaNcTPPKrZblXKh3</t>
  </si>
  <si>
    <t xml:space="preserve">I didn't go for evangelism </t>
  </si>
  <si>
    <t xml:space="preserve">We weren't able to meet due to unforseen circumstances </t>
  </si>
  <si>
    <t>https://drive.google.com/open?id=1RHlyRgHA8v5BintTgOIiId4BdmAoibPR</t>
  </si>
  <si>
    <t>That at salvation God gave us his life and at consecration we give our self to God</t>
  </si>
  <si>
    <t xml:space="preserve">Our relationship with God is what will determine if God will be able to collect something from us or not </t>
  </si>
  <si>
    <t>https://drive.google.com/open?id=1MAwzAt8AsBOKUoJPZp3JXQKHJfbzd0SJ, https://drive.google.com/open?id=1SJPPdVt1jo-iGj2c9uI_mae0R6Waq6h5</t>
  </si>
  <si>
    <t>I don't have yet</t>
  </si>
  <si>
    <t xml:space="preserve">It's has make me to see all of God and none of me in me living righteous </t>
  </si>
  <si>
    <t>https://drive.google.com/open?id=1ZxMlpOJQM_quxCWcw4Gb2arMS39pdCzA</t>
  </si>
  <si>
    <t>I don't have any disciple</t>
  </si>
  <si>
    <t>https://drive.google.com/open?id=1Rgd3X_iQ_xDIBC2lB0vr9l_Vz1JJH6RH</t>
  </si>
  <si>
    <t>It's has helped to have scheduled time for prayer</t>
  </si>
  <si>
    <t>Grace was given to us to lambano : for us to lay hold of</t>
  </si>
  <si>
    <t>All the good things that is in Christ I can also do it, that I can love as Christ love and I can also live righteously as christ</t>
  </si>
  <si>
    <t>https://drive.google.com/open?id=1W9J-1tzhoUtpDOjG1sVnitjFZKAjYQIf</t>
  </si>
  <si>
    <t xml:space="preserve">It has help me to see that salvation which is suteria mean wholeness that is all encompassing </t>
  </si>
  <si>
    <t>https://drive.google.com/open?id=1q9_hgOKjGghK6TKYYQY3XlC300wFbqgq</t>
  </si>
  <si>
    <t xml:space="preserve">I don't have any </t>
  </si>
  <si>
    <t>https://drive.google.com/open?id=11NMcnj2Spb5gvacYxkkRRMPDtZl86Dgt</t>
  </si>
  <si>
    <t>arigbedeiyanuoluwa@gmail.com</t>
  </si>
  <si>
    <t xml:space="preserve">My praying abilities </t>
  </si>
  <si>
    <t xml:space="preserve">Let God be in control of your life </t>
  </si>
  <si>
    <t xml:space="preserve">To let God be in control of your life </t>
  </si>
  <si>
    <t>https://drive.google.com/open?id=1t69rFdZAvjpxMZWJHSoM86ZA3AWhxFGH</t>
  </si>
  <si>
    <t>I am still living under my mum's roof, i have no job</t>
  </si>
  <si>
    <t>Not Yet</t>
  </si>
  <si>
    <t>Not yet</t>
  </si>
  <si>
    <t>https://drive.google.com/open?id=1UuS-UnDlm3ignSnTG-mzkiQolGCL_E2g</t>
  </si>
  <si>
    <t>We have saved some people but they don't later turn up</t>
  </si>
  <si>
    <t xml:space="preserve">Nothing </t>
  </si>
  <si>
    <t>https://drive.google.com/open?id=1SHlBKPBhsSmYcw99YbIPyDMOM3-bso5Y</t>
  </si>
  <si>
    <t>I do not have an evangelism report yet</t>
  </si>
  <si>
    <t>tumininujoyce1@gmail.com</t>
  </si>
  <si>
    <t>March</t>
  </si>
  <si>
    <t xml:space="preserve">It’s been a chance to refire </t>
  </si>
  <si>
    <t>The inward man which is our spiritual life is far more important than our outward man which is our physical being. Therefore, pay more attention to taking care of your spiritual life than your physical appearance.</t>
  </si>
  <si>
    <t xml:space="preserve">Same as above </t>
  </si>
  <si>
    <t>https://drive.google.com/open?id=1O7u37vtn16gjXeYsNkPsNMIKLMiw2xrm</t>
  </si>
  <si>
    <t>https://drive.google.com/open?id=1RY1mttYYPNEmm0l56X7f1rap475--h-f</t>
  </si>
  <si>
    <t>I don’t have any disciple yet</t>
  </si>
  <si>
    <t>https://drive.google.com/open?id=1EYWY2ZFkh9EdDcC7WXKmJ4rrtObP876U</t>
  </si>
  <si>
    <t>We should be consistence in prayer</t>
  </si>
  <si>
    <t>Pray without seizing</t>
  </si>
  <si>
    <t>https://drive.google.com/open?id=1EFsIrHPOI8FfbCQQQivyr3o1DgxTIXvB</t>
  </si>
  <si>
    <t xml:space="preserve">I don't have the financial strength </t>
  </si>
  <si>
    <t xml:space="preserve">It has  been impactful </t>
  </si>
  <si>
    <t>https://drive.google.com/open?id=1J5-4Tvn-9SH6O4_dGO6XpVgiZn47EZEk</t>
  </si>
  <si>
    <t>My house is far from others</t>
  </si>
  <si>
    <t>https://drive.google.com/open?id=1S_7eU-Z2d3KZGbQKCSk1u84kqTpZR9nN</t>
  </si>
  <si>
    <t xml:space="preserve">Helps me to pray better </t>
  </si>
  <si>
    <t xml:space="preserve">That seated in christ jesus </t>
  </si>
  <si>
    <t xml:space="preserve">Am in christ jesus and christ is in me </t>
  </si>
  <si>
    <t>https://drive.google.com/open?id=1OQPAz9OonK4IKHsjB_7LswHT5rCdHvxIrVS13sIG3ZM</t>
  </si>
  <si>
    <t xml:space="preserve">The Gospel is the power of God unto salvation </t>
  </si>
  <si>
    <t>https://drive.google.com/open?id=1dGbnHmC0H4OJn8jnrAJZbgGMqHz4rMiY</t>
  </si>
  <si>
    <t>https://drive.google.com/open?id=1qM7UzNSPWbggjijgWDViUFNEzoBaJE-2</t>
  </si>
  <si>
    <t>faremolamotunrayoe@gmail.com</t>
  </si>
  <si>
    <t>It's has been helpful</t>
  </si>
  <si>
    <t>God's spirit dwells in me</t>
  </si>
  <si>
    <t>I learnt that the essence of the teaching is so that I can access all of God</t>
  </si>
  <si>
    <t>https://drive.google.com/open?id=1gxn9YFiSdyO-qjU5KSLDoqwvAgtH0sRO</t>
  </si>
  <si>
    <t>It was inspiring</t>
  </si>
  <si>
    <t>https://drive.google.com/open?id=1n59BzEGZWU8qRhHJIL7JjvqIBiMaQKSo</t>
  </si>
  <si>
    <t>They traveled</t>
  </si>
  <si>
    <t>https://drive.google.com/open?id=1FD-c-NUi3Ag6orX5UJgF33YumgTfF-wW</t>
  </si>
  <si>
    <t>Yes.</t>
  </si>
  <si>
    <t>We built intimacy with God through His Spirit that's in us. Do much more for your spirit than the physical appearance.</t>
  </si>
  <si>
    <t>https://drive.google.com/open?id=14ckwPJ1QS7UApcpomcvUKkmHjbK3vDJr</t>
  </si>
  <si>
    <t>No for this month. I will very soon.</t>
  </si>
  <si>
    <t>Impactful.</t>
  </si>
  <si>
    <t>https://drive.google.com/open?id=1k5hqDageiPVQc1x74se74kRi0qV3CrOo</t>
  </si>
  <si>
    <t>https://drive.google.com/open?id=10Xa-qpWatOCq9zDUCSzR5n98m19fL7_Y</t>
  </si>
  <si>
    <t>Sir, you still need to work on evangelism and discipleship spaces.</t>
  </si>
  <si>
    <t>It’s has help me to have consistent prayer life</t>
  </si>
  <si>
    <t xml:space="preserve">Intimacy with God is build in our spirit </t>
  </si>
  <si>
    <t>The fact that he dwell in my spirit make him the owner of that house. When God spirit mix with my spirit we become one</t>
  </si>
  <si>
    <t>https://drive.google.com/open?id=1RP6q0PB7i8FMOA1UbUtYHNtiKxnCLyVf</t>
  </si>
  <si>
    <t xml:space="preserve">I am rich presently </t>
  </si>
  <si>
    <t>It’s has help me to know that to receive the Holy Spirit is to believe the gospel</t>
  </si>
  <si>
    <t>https://drive.google.com/open?id=1QAUdjRbvkukFZwY9eJVN3vvYPf3Lz9Af</t>
  </si>
  <si>
    <t xml:space="preserve">I don’t have </t>
  </si>
  <si>
    <t>https://drive.google.com/open?id=1fhcWq4XjUhL9PZXjX8AIqKKEP1IaPwRT</t>
  </si>
  <si>
    <t>It has been edifying moment</t>
  </si>
  <si>
    <t>There are two world : the seen world and the unseen world. Both are real. The fact that God is spirit makes him indwell us. The intimacy with God is built in our spirit that where God lives</t>
  </si>
  <si>
    <t>https://drive.google.com/open?id=1Uvxqd_hKkK5UZoJYliXY1ULbpPBhPC9s</t>
  </si>
  <si>
    <t>Believers are made righteous only by faith in what Christ has done for us</t>
  </si>
  <si>
    <t>https://drive.google.com/open?id=1jDdPOgNvZY5NRva6F9dB1e5tyaXo_n0r</t>
  </si>
  <si>
    <t>They travel, they have a break in school</t>
  </si>
  <si>
    <t>https://drive.google.com/open?id=1sW8Rl7CtcbVnVBnIKzsCyOeqZsKNzMFD</t>
  </si>
  <si>
    <t>olaremiabiola@gmail.com</t>
  </si>
  <si>
    <t>It has made it consistent</t>
  </si>
  <si>
    <t>That the spirit of God in us does not and can never sleep</t>
  </si>
  <si>
    <t>The Bible teaching sessions</t>
  </si>
  <si>
    <t>https://drive.google.com/open?id=1Axiv85gNnwJvEFFbw9n46q2iOEqI8Zlh</t>
  </si>
  <si>
    <t>Financial Constraint</t>
  </si>
  <si>
    <t>It has helped simplified my Christian walk bettr</t>
  </si>
  <si>
    <t>https://drive.google.com/open?id=1i1XEtSuwr7j-f8rN4DzS-yvD8Fj3wjZ9</t>
  </si>
  <si>
    <t>I don't have any yet</t>
  </si>
  <si>
    <t>https://drive.google.com/open?id=1O1muEIQyRvYZgB80lEQKVhqRlZvQqzla</t>
  </si>
  <si>
    <t>Why we study so that we can be full of him</t>
  </si>
  <si>
    <t>https://drive.google.com/open?id=13VZMcNz_d9zfxbiEQdDSW_xhqPN3CZUc</t>
  </si>
  <si>
    <t>https://drive.google.com/open?id=1gWLkTehIRI63SHCP6zErMkXnCy_Oq5nn</t>
  </si>
  <si>
    <t>https://drive.google.com/open?id=1zY2jEKjb-TZHpev-4LVTvsmsEyJHvyQ4</t>
  </si>
  <si>
    <t>The ability to pray more</t>
  </si>
  <si>
    <t>https://drive.google.com/open?id=1T6Sn9THJ1loQSo_KfJxL_4I1uUAHvf-o, https://drive.google.com/open?id=1BMRHK8vov_CjB6qkNT-uwUl7Eep0_i_a</t>
  </si>
  <si>
    <t xml:space="preserve">Not financially stable </t>
  </si>
  <si>
    <t>I have not been listening to it</t>
  </si>
  <si>
    <t>https://drive.google.com/open?id=1TuHHrUrkTVabWfwJlgO0cqn6RtNxK6yI</t>
  </si>
  <si>
    <t xml:space="preserve">We've saved some people but they are being reluctant </t>
  </si>
  <si>
    <t>https://drive.google.com/open?id=1rPW90xtDVbIzOgDo1uOsstFAfAG070EF</t>
  </si>
  <si>
    <t xml:space="preserve">No comment </t>
  </si>
  <si>
    <t>poluwaferanmi52@gmail.com</t>
  </si>
  <si>
    <t xml:space="preserve">It has really my life so far </t>
  </si>
  <si>
    <t>https://drive.google.com/open?id=1dA91mlJTdrIR5VTOWt0niz6o0xCo_i8u</t>
  </si>
  <si>
    <t xml:space="preserve">I didn't attend </t>
  </si>
  <si>
    <t>https://drive.google.com/open?id=18cPj4j8JzrMFdIFLbCvEtOhXAZnrdQNV</t>
  </si>
  <si>
    <t>I didn't have any disciple</t>
  </si>
  <si>
    <t>https://drive.google.com/open?id=1tEoxTh3ml3eDbMAjvGHLvFYTG30WR4Xk</t>
  </si>
  <si>
    <t xml:space="preserve">Edifying </t>
  </si>
  <si>
    <t>In building intimacy with God the foundation is our heart</t>
  </si>
  <si>
    <t>https://drive.google.com/open?id=1_hvny773Np7XySVWt9WpvwP24ONc1Dny</t>
  </si>
  <si>
    <t xml:space="preserve">God will provide </t>
  </si>
  <si>
    <t xml:space="preserve">God's righteousness is a gift of God to everyone that believe </t>
  </si>
  <si>
    <t>https://drive.google.com/open?id=1NGIs4l2FGgGC4fwGeooUv-044G5WBvUT</t>
  </si>
  <si>
    <t xml:space="preserve">They travel </t>
  </si>
  <si>
    <t>https://drive.google.com/open?id=16jMhT2rjRnprLWAo43TwzYiNeAArk7qq</t>
  </si>
  <si>
    <t>Helpful</t>
  </si>
  <si>
    <t>Part of what I gained is that the heart is the foundation of building intimacy with God. The state of our hearts as believers are very important in building intimacy with God.</t>
  </si>
  <si>
    <t>It's my responsibility to take care of the heart in building intimacy with God.</t>
  </si>
  <si>
    <t>https://drive.google.com/open?id=1fnE8AJJm1ecSkNwbpLmyI9uB9FfXW7W4, https://drive.google.com/open?id=1RyaDkyzxu9L-8l_4WYSBlfxW-wZ1lRqI</t>
  </si>
  <si>
    <t>I pray for provision. I will surely pay it.</t>
  </si>
  <si>
    <t>Helpful.</t>
  </si>
  <si>
    <t>https://drive.google.com/open?id=18dAcCCTNUFB7ZWeKGEX0lEMwy724-aDj</t>
  </si>
  <si>
    <t>https://drive.google.com/open?id=1uJoPor4K2Ppq0QutOn3N_N3KNTqDGTqX</t>
  </si>
  <si>
    <t xml:space="preserve">Improve me spiritually </t>
  </si>
  <si>
    <t xml:space="preserve">I don't attend </t>
  </si>
  <si>
    <t>https://drive.google.com/open?id=1xhV2OHrKSMbMLLvPtn_WJXIiDV7loDt3</t>
  </si>
  <si>
    <t xml:space="preserve">Financial challenges </t>
  </si>
  <si>
    <t>They are all saved</t>
  </si>
  <si>
    <t>https://drive.google.com/open?id=1KeESJWwW-yVgciLD1OMgxixZUKtzCM9j</t>
  </si>
  <si>
    <t>https://drive.google.com/open?id=1k2pGuOZpfvWewAWzP3XbUicLLmhgkXVY</t>
  </si>
  <si>
    <t>I was encourage to pray more</t>
  </si>
  <si>
    <t>.........</t>
  </si>
  <si>
    <t>https://drive.google.com/open?id=1l-ai9fLVjD8D7rjc3JLYcZGgdJqKuoVj</t>
  </si>
  <si>
    <t>No job yet</t>
  </si>
  <si>
    <t xml:space="preserve">Nothing yet </t>
  </si>
  <si>
    <t>https://drive.google.com/open?id=1nGRaZDwCpQIPh7GiqL0MJJz7SE2-yX91</t>
  </si>
  <si>
    <t>https://drive.google.com/open?id=1ZJBO5xj3G2PT7cR2UCDB9vf9cRscKMS9</t>
  </si>
  <si>
    <t xml:space="preserve">It helped improved and made my prayer life more consistent </t>
  </si>
  <si>
    <t>I learnt that my heart is the foundation of building intimacy with God because love comes from the heart not feelings</t>
  </si>
  <si>
    <t xml:space="preserve">I learnt that love starts an intimate relationship but faithfulness sustains it </t>
  </si>
  <si>
    <t>https://drive.google.com/open?id=1SsB-f_AwN6ao8pshgeTAxPLdvB9CEqOh</t>
  </si>
  <si>
    <t>It has helped simplify the things of God for me</t>
  </si>
  <si>
    <t>https://drive.google.com/open?id=1FxhUcsV6IVsIYlyC-JIqO_73-IYG5S5F</t>
  </si>
  <si>
    <t xml:space="preserve">I don’t have any yet </t>
  </si>
  <si>
    <t>https://drive.google.com/open?id=1nYQuxt2n9I2C-6Uw94YlBCoT5TMYaCNH</t>
  </si>
  <si>
    <t>It has improved grately</t>
  </si>
  <si>
    <t>I learnt that the difference between one believer and another is determined by how faithful we are to God</t>
  </si>
  <si>
    <t xml:space="preserve">That God is not partial but our differences in access to him is dependent on how intimate we are to him </t>
  </si>
  <si>
    <t>https://drive.google.com/open?id=1y3-z2FrfD0ad8OoBlVWridvLKOu4TbEO</t>
  </si>
  <si>
    <t xml:space="preserve">Financial constraints </t>
  </si>
  <si>
    <t>Simplify and expounded the word of God to me</t>
  </si>
  <si>
    <t>https://drive.google.com/open?id=1wH87cYaeXA0YnrcjTYozOCSq1yYcIxlD</t>
  </si>
  <si>
    <t>I don’t have any yet</t>
  </si>
  <si>
    <t>https://drive.google.com/open?id=1uowW9yxbpXTs1B6YTiULyq2ymP9SW38V</t>
  </si>
  <si>
    <t>Promsco1996@gmail.com</t>
  </si>
  <si>
    <t>Participating in church prayer has strengthened my faith and trust in God. Hearing others pray and share their testimonies has encouraged me to persevere through difficult times and to believe in God's goodness</t>
  </si>
  <si>
    <t>Not around</t>
  </si>
  <si>
    <t>https://drive.google.com/open?id=1KuEECetjnVJD7pTVnvV0Q7eBj5UfamhP</t>
  </si>
  <si>
    <t>https://drive.google.com/open?id=1jVmopRrRQVO3s8IsGr2X8n4MRJBGUB8q</t>
  </si>
  <si>
    <t>https://drive.google.com/open?id=1CqwC-oMyF8W-biLeKWrK5urjO0947IOa</t>
  </si>
  <si>
    <t>Sense of Belonging
Church prayer has given me a sense of belonging to a community of believers. We support and uplift each other, and I feel grateful to be part of a group that shares my values and passions.</t>
  </si>
  <si>
    <t>Building intimacy with God starts with knowing Him deeply. Intimacy is cultivated in the heart, not just through head knowledge. The more you know God, the more love is built. Just like any relationship, love grows stronger when you spend quality and quantity time together.
To deepen your intimacy with God, focus on:
- Spending quality and quantity time with Him
- Giving attention and being present
- Being appreciative and grateful for His presence
- Recognizing and acknowledging His presence in your life
By prioritizing these practices, you'll cultivate a richer, more loving relationship with God.</t>
  </si>
  <si>
    <t>https://drive.google.com/open?id=10tTlQ230tGLtkBTvaoMwyvLViB8bQ0z4</t>
  </si>
  <si>
    <t>https://drive.google.com/open?id=1KdPVeH2HBT-gTjgl-ASzwdA4p6KdjZf4</t>
  </si>
  <si>
    <t>https://drive.google.com/open?id=1c-R9Tc3AMwZTLDffUYN3P8HhF6ka5NPQ</t>
  </si>
  <si>
    <t>promsco1996@gmail.com</t>
  </si>
  <si>
    <t>Church prayer has helped me cultivate a spirit of gratitude and thanksgiving. I've learned to appreciate God's blessings and goodness in my life, and I've become more mindful of the things that truly matter.</t>
  </si>
  <si>
    <t xml:space="preserve">Access to God is open to all of us. How long you can go in God determine how much of God you can see, intimacy start on the platform of love but faithfulness is the driver and sustainer of intimacy </t>
  </si>
  <si>
    <t>https://drive.google.com/open?id=11b5HnQh633A7twDB7oR_vNf6aD5baspv</t>
  </si>
  <si>
    <t>I've gained a deeper understanding of God's character and nature. I've learned to see Him as a loving Father, a gracious Redeemer, and a faithful Friend. This understanding has transformed my relationship with God and has given me a newfound sense of purpose and meaning.</t>
  </si>
  <si>
    <t>https://drive.google.com/open?id=1GgbyCVO5vWRfdX1ylhwwwKOIgvj-iZok</t>
  </si>
  <si>
    <t>https://drive.google.com/open?id=1rq2Al0tjqkqjPsADiGbyxzq7Heo7dKBZ</t>
  </si>
  <si>
    <t xml:space="preserve">Don't attend </t>
  </si>
  <si>
    <t>https://drive.google.com/open?id=15vcRSob0Y807oJnKwpWS6gW9GEAyB7Nd</t>
  </si>
  <si>
    <t>Impact me more and encourage me to known Christ more.</t>
  </si>
  <si>
    <t>https://drive.google.com/open?id=1IHPRoUV0AfGSXgxgVqbBZp5jJkVvCW9m</t>
  </si>
  <si>
    <t>https://drive.google.com/open?id=1pyloG3EnwsUxB11ky1Fy5XnBrlel_PMl</t>
  </si>
  <si>
    <t xml:space="preserve"> It has help me to have personal prayer life </t>
  </si>
  <si>
    <t>In building intimacy with God the foundation which is the most important is our heart and the state of our heart determines how our intimacy with God is going to look like.</t>
  </si>
  <si>
    <t>In building intimacy we have to be careful with what we're building intimacy with 
We need to pay attention to the state of our heart because what is inside our heart is what will determine what is outside that we need to concentrate on the man inside than the man outside.</t>
  </si>
  <si>
    <t>https://drive.google.com/open?id=1__mnh8Ox-AB9NZJ3I1prK34euUJm-9RI</t>
  </si>
  <si>
    <t xml:space="preserve">It has made me to see that gospel is believing in the grace of our Lord Jesus Christ and it's the gospel that show us how a man can be right with God </t>
  </si>
  <si>
    <t>https://drive.google.com/open?id=1VbOWj6zMOd_tTDekJauOz4kbC2qEnOj2</t>
  </si>
  <si>
    <t xml:space="preserve">I don't have </t>
  </si>
  <si>
    <t>https://drive.google.com/open?id=1GIsVW1Wev5O1073BNMxGhAWhJgORltI7</t>
  </si>
  <si>
    <t>It has help me to have personal relationship with the father at an early hour</t>
  </si>
  <si>
    <t xml:space="preserve">I wasn't around </t>
  </si>
  <si>
    <t>https://drive.google.com/open?id=17j25-Wg1iDmKstm45ziiy-G1rcocSL-d</t>
  </si>
  <si>
    <t xml:space="preserve">It has help me to see that gospel has been in existence from the old testament and it was made clear in the new testament and that what was preached to Abraham was the gospel </t>
  </si>
  <si>
    <t>https://drive.google.com/open?id=1G0F_v-Qz9M0uVfn4rQNuGrV-rKIknJmM</t>
  </si>
  <si>
    <t>https://drive.google.com/open?id=1a1hEHwa1m-Som0L77atUhvrS04GPNWKG</t>
  </si>
  <si>
    <t>owolabimary2208@gmail.com</t>
  </si>
  <si>
    <t>It helps my consistency in praying</t>
  </si>
  <si>
    <t xml:space="preserve">We build intimacy with God so that will can  access all of God </t>
  </si>
  <si>
    <t>Pastor's teaching</t>
  </si>
  <si>
    <t>https://drive.google.com/open?id=1socCaR4IqmVv1MArVb2SNA6gXvUinKZ3</t>
  </si>
  <si>
    <t xml:space="preserve">It increases my understanding of the Grace of God </t>
  </si>
  <si>
    <t>Nill</t>
  </si>
  <si>
    <t>https://drive.google.com/open?id=1xSnz_y9qMBeR69pwgJheLn3Qa899nQSo</t>
  </si>
  <si>
    <t>https://drive.google.com/open?id=1-u9GaNLr8tMRwIkrl_-OIPfEEPOAtIU0</t>
  </si>
  <si>
    <t>To be more conscious of prayer</t>
  </si>
  <si>
    <t xml:space="preserve">My heart is the foundation of building intimacy with God </t>
  </si>
  <si>
    <t>Christ should be in your heart not only on your lips</t>
  </si>
  <si>
    <t>https://drive.google.com/open?id=152tgTl-0IgtgKh0K2glttLEaazoSHN5h</t>
  </si>
  <si>
    <t>It increases my knowledge of the Grace of God in Christ</t>
  </si>
  <si>
    <t>https://drive.google.com/open?id=1OjLudhvfaEPsRFubD1UNzUZSWfdOSFpT</t>
  </si>
  <si>
    <t>https://drive.google.com/open?id=1kFYkTq3y8i-HmmmH1omvqcgT2qEPMtWV</t>
  </si>
  <si>
    <t xml:space="preserve">It helps my consecration to prayer </t>
  </si>
  <si>
    <t>How long and how deep you can go in God it depend on your level of intimacy with Him</t>
  </si>
  <si>
    <t>If you are not faithful with little more can not entrusted to your hands.</t>
  </si>
  <si>
    <t>https://drive.google.com/open?id=1NEuEiUyIOp17O_ZNK_LiYN1qNkYw7FxF</t>
  </si>
  <si>
    <t>It inspires me to be grateful for His grace</t>
  </si>
  <si>
    <t>https://drive.google.com/open?id=1EGz-w2s43DE7FqwFoxrkivB5_EPuTlwJ</t>
  </si>
  <si>
    <t>https://drive.google.com/open?id=1Jx4h0BHvNJVU_boS4aoUXvz2D9rW0mGZ</t>
  </si>
  <si>
    <t>Faithfulness. In building intimacy with God faithfulness is needed.</t>
  </si>
  <si>
    <t xml:space="preserve">God is faithful. God also requires faithfulness from us as his children.
</t>
  </si>
  <si>
    <t>https://drive.google.com/open?id=1nqIp7BeTKF6i2qGqUZYdC0Ib24ZDAgFL, https://drive.google.com/open?id=1nnIFpHiZayPBcpTk75NHZqFHBJ_KddXP</t>
  </si>
  <si>
    <t>https://drive.google.com/open?id=1Ti1ALXH517avSri0B2-165aRyxSe4WSD</t>
  </si>
  <si>
    <t>https://drive.google.com/open?id=1I3lNoFPsfxtqzuueB8dp3ZZOYa8UWGQb</t>
  </si>
  <si>
    <t>Week 4</t>
  </si>
  <si>
    <t xml:space="preserve">It helps me to be consistent in prayer </t>
  </si>
  <si>
    <t>https://drive.google.com/open?id=1dGhTrCb5_EIrds6CnlnqYeiemoI6-804</t>
  </si>
  <si>
    <t>No job</t>
  </si>
  <si>
    <t>https://drive.google.com/open?id=1ZlPZ2CH7f08uE77a83Pw5KXaaOHRx1un</t>
  </si>
  <si>
    <t>My house is far</t>
  </si>
  <si>
    <t>https://drive.google.com/open?id=1cNfp6ct8OwIcCrtf60OAqq85LMY26hYY</t>
  </si>
  <si>
    <t xml:space="preserve">There is no faithfulness if there is no opposing circumstances. 
God is ever faithful and will never fail. </t>
  </si>
  <si>
    <t xml:space="preserve">God is ever faithful and will never fail. </t>
  </si>
  <si>
    <t>https://drive.google.com/open?id=1DAh-btQrGMgUld4koEO9DuPy15jY0s_b</t>
  </si>
  <si>
    <t>God's righteousness is the gift of God.</t>
  </si>
  <si>
    <t>https://drive.google.com/open?id=1jqgu4ss0SuyjBmi1cpt-x6lG5QANIzzT</t>
  </si>
  <si>
    <t>I called them to check on them</t>
  </si>
  <si>
    <t>https://drive.google.com/open?id=19mfMjzMXEm9FnZO-6U3BxqomSM0w74EQ</t>
  </si>
  <si>
    <t>It has help me to be consistent in prayer</t>
  </si>
  <si>
    <t xml:space="preserve">Faithfulness means to have unwavering loyalty in someone or something 
Believe the best of people. </t>
  </si>
  <si>
    <t>Faithfulness means to have unwavering loyalty in someone or something 
Believe the best of people.</t>
  </si>
  <si>
    <t>https://drive.google.com/open?id=1kVf_-NKv47D4_DJkYDzEG0UzrisM-_2Z</t>
  </si>
  <si>
    <t xml:space="preserve">Radio broadcast has blessed me so much </t>
  </si>
  <si>
    <t>https://drive.google.com/open?id=1IYMoTAE2nZccypzqtt-I7mfS7KtemnXq</t>
  </si>
  <si>
    <t xml:space="preserve">I called them </t>
  </si>
  <si>
    <t>https://drive.google.com/open?id=1roPm-ifvDD3-MEf6IQzw5oCmIYUfRAvU</t>
  </si>
  <si>
    <t xml:space="preserve">It's has help me to have the consciousness of praying at the particular time </t>
  </si>
  <si>
    <t>https://drive.google.com/open?id=1379XX35GDkGAYsoK5VRu0acrLL6wyH0l</t>
  </si>
  <si>
    <t xml:space="preserve">The teaching has made me to see that the and in John 3:5 was used to give further explanation to the same thing. Meaning that the spirit will work as water in anyone that believe. Water is the figurative of the spirit. </t>
  </si>
  <si>
    <t>https://drive.google.com/open?id=1sMnkqREegI1OgfvlB9mFARMrGZiOdhBN</t>
  </si>
  <si>
    <t>https://drive.google.com/open?id=1jnmEtXz3O8-Jvo9kzLEnCQv-w7IuppG8</t>
  </si>
  <si>
    <t xml:space="preserve">Intimacy with God </t>
  </si>
  <si>
    <t xml:space="preserve"> The intimacy with God is love for God </t>
  </si>
  <si>
    <t>https://drive.google.com/open?id=1iWVYLyTK-6MoabPle1ZXLHgOOAb4i79Y</t>
  </si>
  <si>
    <t>https://drive.google.com/open?id=1jbcyZbKfJto4TUhQErfeeBW29ZSnKY5D</t>
  </si>
  <si>
    <t xml:space="preserve">Not available </t>
  </si>
  <si>
    <t>https://drive.google.com/open?id=1fVsEprBuRLORdeoWn-1Jn1qKXLMBLSYj</t>
  </si>
  <si>
    <t xml:space="preserve">Many </t>
  </si>
  <si>
    <t>Intimacy start with love</t>
  </si>
  <si>
    <t>https://drive.google.com/open?id=15ZKPg7WieMCW0Aj2Xx_Or9GaTCIMXD6g</t>
  </si>
  <si>
    <t>Non</t>
  </si>
  <si>
    <t>Lot</t>
  </si>
  <si>
    <t>https://drive.google.com/open?id=17PYLFS6ZofX3T2Hhx8R1i_3w7Hxj7oXR</t>
  </si>
  <si>
    <t>https://drive.google.com/open?id=1aPjpD5-O4SaThhNgYVsgtqjrmPxX5JbW</t>
  </si>
  <si>
    <t>adefokuntimileyin@gmail.com</t>
  </si>
  <si>
    <t xml:space="preserve">It's has being helping my prayer life </t>
  </si>
  <si>
    <t>Every opportunity, privilege, access and position that we have is for us to serve God .</t>
  </si>
  <si>
    <t xml:space="preserve">Is during the teaching </t>
  </si>
  <si>
    <t>https://drive.google.com/open?id=1r7xkb08blG1VllzW0jv-kxiXh0dfSFSA</t>
  </si>
  <si>
    <t>1@</t>
  </si>
  <si>
    <t>https://drive.google.com/open?id=1B_AUEs02jy-ispej8Sv_JdCj-6e99pEj</t>
  </si>
  <si>
    <t>She's cooperating and desire to know more .</t>
  </si>
  <si>
    <t>Yield</t>
  </si>
  <si>
    <t>https://drive.google.com/open?id=1eDXuVZ6IiatE0spi7Lgo6GDJr0rp5H2S</t>
  </si>
  <si>
    <t xml:space="preserve">She's growing and desire to know more </t>
  </si>
  <si>
    <t xml:space="preserve">Impactful </t>
  </si>
  <si>
    <t xml:space="preserve">Your faithfulness to someone must be 💯 regardless of any circumstances </t>
  </si>
  <si>
    <t>God built intimacy with His people through trust.</t>
  </si>
  <si>
    <t>https://drive.google.com/open?id=15FLqBPhywy-tHq1eLESvIOFfOkuSa5so, https://drive.google.com/open?id=10_Nx3EzfCrJ1Nsfoop5F6G5_yEpnn3HT</t>
  </si>
  <si>
    <t xml:space="preserve">Helpful </t>
  </si>
  <si>
    <t>For follow up.</t>
  </si>
  <si>
    <t>https://drive.google.com/open?id=1JG9PJkgz6T1LsbhkBphJIQs30PANx9ea</t>
  </si>
  <si>
    <t>https://drive.google.com/open?id=19rrTfXxZgoWwujz25SLXQJodWo8mviEC</t>
  </si>
  <si>
    <t xml:space="preserve">Better </t>
  </si>
  <si>
    <t>We're what we eat. Therefore I should pay closer attention to what I hear or read.</t>
  </si>
  <si>
    <t>Faithfulness. Faithfulness makes relationships works. We should keep believing the best of others. Most especially when things went south or north.</t>
  </si>
  <si>
    <t>https://drive.google.com/open?id=1oPCYgpm-XLwkgxAUvQh3CavN-qNwE9cD, https://drive.google.com/open?id=1FA2kYySadeM-hCNbp__TX79-313tHg-r</t>
  </si>
  <si>
    <t xml:space="preserve">Follow up </t>
  </si>
  <si>
    <t>https://drive.google.com/open?id=1PpGwmMvhwbGePXhiGt1NckhHVDnj2ndy</t>
  </si>
  <si>
    <t>https://drive.google.com/open?id=1-5lNlgwBHybf56axNEyRCKHUWY9-w1_H</t>
  </si>
  <si>
    <t>April</t>
  </si>
  <si>
    <t>I learned that God wants us to do good work. God's word gives us necessary tools or skills to do good work as we ought.</t>
  </si>
  <si>
    <t>Good works are product of salvation. We're saved unto good works. I learned that good works required competency.</t>
  </si>
  <si>
    <t>https://drive.google.com/open?id=1wsNAGDNUG6O5Jg8n1DIgSvz1PL58RR8i, https://drive.google.com/open?id=1-09JJwgu_rmISIjYohr0z3N5GTFwZXcN, https://drive.google.com/open?id=11RTT6_uy8Ne6L7CkMamMLcrTdSyHXKMC, https://drive.google.com/open?id=12D551OhCpnkRc58bAZ4mJjFI5PV1QJU5</t>
  </si>
  <si>
    <t xml:space="preserve">Not yet </t>
  </si>
  <si>
    <t>Reach out to people concerning Grace Conference 2025</t>
  </si>
  <si>
    <t>https://drive.google.com/open?id=1Nl7QvcAGbNJ-RqfIU97bLQcUkO90BF54</t>
  </si>
  <si>
    <t>https://drive.google.com/open?id=1q80AaE09FDNB1lwpuBNj5Ub6pNEwZk_F</t>
  </si>
  <si>
    <t xml:space="preserve">It's has helped me to have personal prayer life </t>
  </si>
  <si>
    <t>Our good works are not for God, but for men to see that we belong to God and that we can only do good works when we're saved.</t>
  </si>
  <si>
    <t xml:space="preserve">We're created to do good works and we are not to do it anyhow but we are to be efficient, proficient and competent at doing it. That what give us the necessary tools to do good works is the word of God and that good works are products of salvation not what give us salvation.
</t>
  </si>
  <si>
    <t>https://drive.google.com/open?id=19VJj-FCtAFAJJKXLbNNVr4XgRNwsAHrC</t>
  </si>
  <si>
    <t xml:space="preserve">Am still trusting God for provision </t>
  </si>
  <si>
    <t xml:space="preserve">Salvation is by our faith in Christ alone and that we don't need water baptism before we are save. Water baptism in John 3:5 is figurative of the spirit </t>
  </si>
  <si>
    <t>https://drive.google.com/open?id=17b8LP1KpQXt0IISnefJXF5Ga67oNBiA7</t>
  </si>
  <si>
    <t>https://drive.google.com/open?id=1-S51ZcMHkHnMT5lO6aeJJtMUIErDcl_f</t>
  </si>
  <si>
    <t xml:space="preserve">It's has helped me to have consistent prayer life </t>
  </si>
  <si>
    <t xml:space="preserve">Good works simply means everything that reflects God. God is good and do good works too so we are also meant to do good works </t>
  </si>
  <si>
    <t xml:space="preserve">Our good works are only define by God and that when we do good works as we are expected to do it we have right standing with God. To do good works required our commitment meaning for us to do good works well it requires decisive dedication </t>
  </si>
  <si>
    <t>https://drive.google.com/open?id=149VbIDtMn0VDLzRlrWlDDT9rXLKH9M4l</t>
  </si>
  <si>
    <t>Salvation is purely of God so it didn't require our personal effort or water baptism before it's complete</t>
  </si>
  <si>
    <t>https://drive.google.com/open?id=1PJFJWMY4Pv2eInliDfYl1jZ7CdQC1a-q</t>
  </si>
  <si>
    <t>https://drive.google.com/open?id=1i8Xjvgiq--s9BZtiUpteNaAHAzouaX8N</t>
  </si>
  <si>
    <t>June</t>
  </si>
  <si>
    <t xml:space="preserve">It's edifying </t>
  </si>
  <si>
    <t xml:space="preserve">Ministry is serving 
Ministry is getting men to God 
When God gives ministry he gives necessary provision </t>
  </si>
  <si>
    <t>https://drive.google.com/open?id=1pU1PVkI1SBKA_LGFVz99ZGkFPtum9RYK</t>
  </si>
  <si>
    <t>Learning grace is not a license to sin. 
We are not bond by law</t>
  </si>
  <si>
    <t>https://drive.google.com/open?id=1zLMR_sF8jBRTBAUbewLrW0OHdi7_i_oy</t>
  </si>
  <si>
    <t xml:space="preserve">Blessed be God for strength </t>
  </si>
  <si>
    <t>https://drive.google.com/open?id=1yPCn9tqz50PnmBLcG3psu3I1Fwv7J8om</t>
  </si>
  <si>
    <t xml:space="preserve">Men are learning </t>
  </si>
  <si>
    <t xml:space="preserve">It has helped me pray more </t>
  </si>
  <si>
    <t>We have been called into ministry to serve. As believers, we have all been called into the ministry of reconciliation.</t>
  </si>
  <si>
    <t xml:space="preserve">God has given us all different ministry gifts to carry out this assignment in different levels and places. </t>
  </si>
  <si>
    <t>https://drive.google.com/open?id=1YeTBCX14M_-6InvMaMQeDM17gl7AIEQC</t>
  </si>
  <si>
    <t xml:space="preserve">No challenge </t>
  </si>
  <si>
    <t xml:space="preserve">God gave birth to us and we as believers are like him. </t>
  </si>
  <si>
    <t>https://drive.google.com/open?id=10-v8P8PfyrmZ8_nIDwMvB3ghLVuyrBOp</t>
  </si>
  <si>
    <t xml:space="preserve">Occupied </t>
  </si>
  <si>
    <t>https://drive.google.com/open?id=1Yd3nhr0klviwt9EBv-woz03iCmFDGRGV</t>
  </si>
  <si>
    <t xml:space="preserve">Ministry gifts insight </t>
  </si>
  <si>
    <t xml:space="preserve">There is no competition </t>
  </si>
  <si>
    <t>https://drive.google.com/open?id=1YsFY6TLh71H14KwFgRQOS8vJiXFjdiI8</t>
  </si>
  <si>
    <t>Nop</t>
  </si>
  <si>
    <t>https://drive.google.com/open?id=17lNYjkDWnol42GWBmj5YC-u0HAsQxqvd</t>
  </si>
  <si>
    <t>https://drive.google.com/open?id=1If0V9omA2oboWM3WEWkaC2iYLZ6fOm-F</t>
  </si>
  <si>
    <t xml:space="preserve">The evangelism went well </t>
  </si>
  <si>
    <t>Each gift has its own function, each as its own work. we have been called with different function at different places.</t>
  </si>
  <si>
    <t>https://drive.google.com/open?id=1Y-XRU6LwLSWktUI6RCCT1BeoOZ9N2FCY</t>
  </si>
  <si>
    <t>https://drive.google.com/open?id=1SVzQo8eKGkCMEAg4LWXsZjyiBaSNgQ14</t>
  </si>
  <si>
    <t>https://drive.google.com/open?id=1I_az5QShGnUbkhvSgu2QwKwegznmw4nx</t>
  </si>
  <si>
    <t xml:space="preserve">God is our strength </t>
  </si>
  <si>
    <t>Part of what I learned is that God rewards base on ministry. The work will do in ministry is to preach Jesus Christ and expanding His kingdom on earth. We don't own ourselves. We're co-labourers with God because the owner of the worker is God.</t>
  </si>
  <si>
    <t xml:space="preserve">You will be rewarded according to your labour. </t>
  </si>
  <si>
    <t>https://drive.google.com/open?id=1vOULGyiut7r8HWW4G4GfIt8k7LVzxym8, https://drive.google.com/open?id=1o7osUmUsR0uLDgoO2hgP8BjkyKZt5kRp, https://drive.google.com/open?id=1q9YWPadYW-cN4cnmhQenOOKjgO7LyH5w, https://drive.google.com/open?id=1OgOoGjvoKuUfwsRnhsVncoAuh9gIRkIm</t>
  </si>
  <si>
    <t>https://drive.google.com/open?id=1ubEAjssn2IUdrSjf-ojbITIp2zaZoAOP</t>
  </si>
  <si>
    <t>https://drive.google.com/open?id=1TaJkZfr6TceC3DdnPAvCxxYB3t_eGhB4</t>
  </si>
  <si>
    <t>I learned that, the scripture has the final say over our lives. As soldiers for Christ, we're to serving till will finish our assignments on this earth. God doesn't want any of His soldiers to die young.
I learned that Ministry Gift are giving to do ministry. It's for the establishment of the body of Christ. I learned that every believer has been given the ministry of reconciliation. I also learned that, ministry is not for competition or comparison rather to be cooperative and complementary. Also our talent is to complete our ministries. Talent is for both believers and unbelievers while ministry gifts are for only believers.</t>
  </si>
  <si>
    <t>Everything.</t>
  </si>
  <si>
    <t>https://drive.google.com/open?id=1tB4pmSEq0dvhTdwA-s_myxsYMvFHbHHW, https://drive.google.com/open?id=1UFEI8I3AjAy4TXWbi1Bgdsb-6GjYQSKt</t>
  </si>
  <si>
    <t>https://drive.google.com/open?id=1GLVU9WZiMgO4vpC2J_cU4RkEdGE1eRcf</t>
  </si>
  <si>
    <t>https://drive.google.com/open?id=1UPGEek_iEcyPucVgct1iRqdXaBsZU2qU</t>
  </si>
  <si>
    <t xml:space="preserve">I learned God distributed all the ministry gifts as he will. The operation and administration of the ministry gifts are in different ways. Stay in your lane. Don't judge other ministry or people </t>
  </si>
  <si>
    <t xml:space="preserve">Everything </t>
  </si>
  <si>
    <t>https://drive.google.com/open?id=1ZeeoX1kp_o3W0f25PXutp2hSxdoUAQV2</t>
  </si>
  <si>
    <t>https://drive.google.com/open?id=14Y_8hIC60rGjK4UASJK9y-Js1pB5Zywq</t>
  </si>
  <si>
    <t>https://drive.google.com/open?id=1dgmzwvjCH-H1rninG086g6DP4_PSPH3T</t>
  </si>
  <si>
    <t>Don't attend</t>
  </si>
  <si>
    <t>https://drive.google.com/open?id=1qd7napHKQuY3ErhZY0bVn2VB51q9Wffb</t>
  </si>
  <si>
    <t>I'm on leave</t>
  </si>
  <si>
    <t xml:space="preserve">Inspired me to no more of Christ </t>
  </si>
  <si>
    <t>https://drive.google.com/open?id=1U4umbxoXBPb0eIYYrV4J2c3P4ynRvJwg</t>
  </si>
  <si>
    <t>https://drive.google.com/open?id=1XpO_PBOKDITDxD7dKZL9DsNHP4rxggyo</t>
  </si>
  <si>
    <t xml:space="preserve">Improve my spiritual relationship with God </t>
  </si>
  <si>
    <t>Every ministry gift carry anointing, and the anointing on you is the oil to make the work effectiveness and for the ease</t>
  </si>
  <si>
    <t>In the ministry we serve until our assignment is finish</t>
  </si>
  <si>
    <t>https://drive.google.com/open?id=1HhoC4cEcJPJ0lN-n_14yJY73NTFBGsmd, https://drive.google.com/open?id=19ZxaXyoSM16nX7ivdIo0l6tFiurq5OsR</t>
  </si>
  <si>
    <t xml:space="preserve">Inspired me to know more of Christ </t>
  </si>
  <si>
    <t>https://drive.google.com/open?id=1ZM_dkJ5PCISNpfBBVMPXi6DGddeEhxuz</t>
  </si>
  <si>
    <t>https://drive.google.com/open?id=1jfEipEh7hy8qXtP4OnllKjZ7O13hv0Ip</t>
  </si>
  <si>
    <t xml:space="preserve">Spirit control temperament:
Whatsoever bad is not from God, Temperament is one thing,  God nature is another thing </t>
  </si>
  <si>
    <t>How we balance temperament:
It is through personality and nature of God
The spirit and the word will not override our temperament but will put our temperament where it should be</t>
  </si>
  <si>
    <t>https://drive.google.com/open?id=1pGAdnzXvphjfJebv5Q6Ge-Ea3C5r-q9s</t>
  </si>
  <si>
    <t>https://drive.google.com/open?id=1ySXAfQdG-nnI5swVwXhD2fNfGiDHcZBS</t>
  </si>
  <si>
    <t>https://drive.google.com/open?id=1DPuOUP4QD7z9VkLSrofNqcRcXR_ZrKxr</t>
  </si>
  <si>
    <t xml:space="preserve">Very helpful </t>
  </si>
  <si>
    <t xml:space="preserve">Ministry is not for competition but to complement </t>
  </si>
  <si>
    <t xml:space="preserve">Enlightened </t>
  </si>
  <si>
    <t>https://drive.google.com/open?id=1ttjycPZWeO-wmcriV1wYtUSkYC6Iymio</t>
  </si>
  <si>
    <t xml:space="preserve">To be conscious of my reality </t>
  </si>
  <si>
    <t>https://drive.google.com/open?id=17yvtCzv8589HDw4HDddIOCmSpDvBSiXV</t>
  </si>
  <si>
    <t>https://drive.google.com/open?id=178hO92jlvbEyl9VuUeEZwehoHlPtDdKp</t>
  </si>
  <si>
    <t xml:space="preserve">To be more prayer conscious </t>
  </si>
  <si>
    <t>https://drive.google.com/open?id=1R1xo_lMTzH4E4_p1WP2wuE2v7TIthslj</t>
  </si>
  <si>
    <t>https://drive.google.com/open?id=12wk7PXoHe6IKNARpp0DOdy1pi_LZYIQJ</t>
  </si>
  <si>
    <t>https://drive.google.com/open?id=1_xby2WvSNBFRMykoO16v55FGQG-kBoiQ</t>
  </si>
  <si>
    <t xml:space="preserve">It inspires me to pray </t>
  </si>
  <si>
    <t xml:space="preserve">Ministry is to serve </t>
  </si>
  <si>
    <t xml:space="preserve">Ministry is not competitive but complementary and cooperative </t>
  </si>
  <si>
    <t>https://drive.google.com/open?id=1GYTgsZm70dAZg6PwsuFHcSGNs6sRku0a</t>
  </si>
  <si>
    <t xml:space="preserve">It inspired me to live godly </t>
  </si>
  <si>
    <t>https://drive.google.com/open?id=1fhHCD00Zc1cub9z5lHHg9BWLFLdTopoM</t>
  </si>
  <si>
    <t>https://drive.google.com/open?id=14Uhvq_CLbzB7ihnmOH6OZbgK4ggPqL_A</t>
  </si>
  <si>
    <t xml:space="preserve">Made my prayer life more stable </t>
  </si>
  <si>
    <t xml:space="preserve">We were taught about ministry and I learned that everyone one of us has a ministry </t>
  </si>
  <si>
    <t>https://drive.google.com/open?id=1qnxu9j6bGFhCRX286PiMFMyZr6BIWlKE</t>
  </si>
  <si>
    <t xml:space="preserve">Financial Constraint </t>
  </si>
  <si>
    <t xml:space="preserve">Got more enlightenment and understanding concerning some topics </t>
  </si>
  <si>
    <t>https://drive.google.com/open?id=1GX0L3hQQhK-KSYDT9t6djVNsKF-6agm6</t>
  </si>
  <si>
    <t>https://drive.google.com/open?id=15ebw42I9xuvUmAovA01gCh0Cnumn-xR0</t>
  </si>
  <si>
    <t xml:space="preserve">it has helped strengthen my prayer life </t>
  </si>
  <si>
    <t>Your ministry is what you would be rewarded for</t>
  </si>
  <si>
    <t xml:space="preserve">The purpose of ministry is to do the work of Godd and the reason for this is for the maturity of the saints </t>
  </si>
  <si>
    <t>https://drive.google.com/open?id=1JptGCsAADL4-WNAtRSsswHrqeKdpDp7V</t>
  </si>
  <si>
    <t>Financial constraint</t>
  </si>
  <si>
    <t>https://drive.google.com/open?id=1X91QnzIUXyDzy-9k1l40VuY4ZlmVfjcR</t>
  </si>
  <si>
    <t>https://drive.google.com/open?id=1JhalIcOnGiwySXLCPWXG5Z5MFXrVYQ0j</t>
  </si>
  <si>
    <t>The difference between talent and ministry gifts is that you can commercialize talent but not ministry gifts</t>
  </si>
  <si>
    <t>We are meant to use our talents to meet our needs. The bottom line is we do everything to glorify God and not the way the world does it</t>
  </si>
  <si>
    <t>https://drive.google.com/open?id=1k-ot9SEy_G9y4hRQTYp4-Eux_5UQgkMa</t>
  </si>
  <si>
    <t xml:space="preserve">Financial constraint </t>
  </si>
  <si>
    <t>https://drive.google.com/open?id=1T0l02ZAAptvu1WkFGOU0oXjkvNYcy5yI</t>
  </si>
  <si>
    <t>https://drive.google.com/open?id=11bjiTvjWdGK31aXnu6rxDYWV8f9ZkszP</t>
  </si>
  <si>
    <t xml:space="preserve">You have all you need to effectively function in your office </t>
  </si>
  <si>
    <t>When God sends, he backs up</t>
  </si>
  <si>
    <t>https://drive.google.com/open?id=1gsIkUf-d0rjK5ltp3B98sjpK8r464ZDj</t>
  </si>
  <si>
    <t>https://drive.google.com/open?id=1-RMox1q-qxosU_CuoXZMZhk9U1wCNrt5</t>
  </si>
  <si>
    <t>https://drive.google.com/open?id=1lQpCpf7bzLn_ilxLh2d6nQZ2v9YdTmtF</t>
  </si>
  <si>
    <t>Did not attend because I was sick</t>
  </si>
  <si>
    <t>I was sick</t>
  </si>
  <si>
    <t>https://drive.google.com/open?id=18jZpRFxIa7s56FQzt-IeBJeMwMhQsYBJ</t>
  </si>
  <si>
    <t>https://drive.google.com/open?id=1X-6GHXHXqxrUfWMPoCfegY68HVmL7rz7</t>
  </si>
  <si>
    <t>https://drive.google.com/open?id=1Gft2lfQ54W31cxY2nTcKSUFx_Hr2kqBC</t>
  </si>
  <si>
    <t>It help me to have a consistent prayer life</t>
  </si>
  <si>
    <t>Ministry is what define me. My friendship, relationship where am to stay and the kind of partner am to have.</t>
  </si>
  <si>
    <t xml:space="preserve">Ministry is not competitive but cooperative and complementary </t>
  </si>
  <si>
    <t>https://drive.google.com/open?id=1-MLlNNxO8-04YLzT4rIoYCNIPvOBWJS1</t>
  </si>
  <si>
    <t xml:space="preserve">Am very rich at the moment </t>
  </si>
  <si>
    <t xml:space="preserve">It's has help me to know that if I practice self righteousness it mean am frustrating the grace of God </t>
  </si>
  <si>
    <t>https://drive.google.com/open?id=1JKJ6ShtVebzw6wFN4sQnfq4I01-Y1VPx</t>
  </si>
  <si>
    <t>https://drive.google.com/open?id=1OUjt9iS4l7VWd7FlUIZKEK2_aaybc-O0</t>
  </si>
  <si>
    <t xml:space="preserve">It has helped me to have a consistent prayer life </t>
  </si>
  <si>
    <t>https://drive.google.com/open?id=1OlfDi9Po6pno75CeBej59NFUAGXCfK1X</t>
  </si>
  <si>
    <t xml:space="preserve">Have learned that nothing save a man except the Grace of God </t>
  </si>
  <si>
    <t>https://drive.google.com/open?id=1miB_9KhOXtSHNaqSTI2qvQaaF8Ix_nWU</t>
  </si>
  <si>
    <t>https://drive.google.com/open?id=1Osed_MxswazfmwSuU4-Z-2Dy7I419Kab</t>
  </si>
  <si>
    <t xml:space="preserve">It has helped me to have a dedicated time to prayer </t>
  </si>
  <si>
    <t xml:space="preserve">There's anointing for each ministries </t>
  </si>
  <si>
    <t>God has given me grace according to my ministry. So I should walk in my own lane</t>
  </si>
  <si>
    <t>https://drive.google.com/open?id=1aFw7-88d4Qk3cXwFh61zuL_kALBgKVSq</t>
  </si>
  <si>
    <t xml:space="preserve">I am very rich at the moment </t>
  </si>
  <si>
    <t>https://drive.google.com/open?id=1rpTrTHnl9i7IQWaG_UnogRkAglWkARf-</t>
  </si>
  <si>
    <t>https://drive.google.com/open?id=1J8bPYs7US39tfqxdDMONTAqG0ZddrHzn</t>
  </si>
  <si>
    <t xml:space="preserve">It's has help me to have a consistent </t>
  </si>
  <si>
    <t>https://drive.google.com/open?id=1ik69MgFba974jqzV7kYwO8Fvi9K4MoxV</t>
  </si>
  <si>
    <t xml:space="preserve">Amen very rich at the moment </t>
  </si>
  <si>
    <t>https://drive.google.com/open?id=1X7jLIxoOfazSQtw5HCmxsRGyqeA1f_NE</t>
  </si>
  <si>
    <t>https://drive.google.com/open?id=1CKIIli_0mfE-PFvWRnrnNlHmuGSzOwS1</t>
  </si>
  <si>
    <t>September</t>
  </si>
  <si>
    <t>To pray for others</t>
  </si>
  <si>
    <t>Rest does not mean inactivity, it simply means spirit directed activity.</t>
  </si>
  <si>
    <t xml:space="preserve">Grace is not laziness </t>
  </si>
  <si>
    <t>https://drive.google.com/open?id=1gq_-KFs3hCa6QF4JLaMtJiPhWgJIPgWR</t>
  </si>
  <si>
    <t xml:space="preserve">A lot of constraints </t>
  </si>
  <si>
    <t>Encouraging</t>
  </si>
  <si>
    <t>https://drive.google.com/open?id=1I7paP-SZQOuOWvfq2j2fBjH45HWzseVK</t>
  </si>
  <si>
    <t>https://drive.google.com/open?id=1sdWvnWAvISFlhO7749r2zwQjxjlOFWbX</t>
  </si>
  <si>
    <t>It help to be conscious of prayer</t>
  </si>
  <si>
    <t>Jesus is the needed help that men have been looking for.</t>
  </si>
  <si>
    <t>That God is close to me more than I can ever imagine.</t>
  </si>
  <si>
    <t>https://drive.google.com/open?id=1PTo2iP_apn_C-g_7jC1Dwt80CuxC8JCe</t>
  </si>
  <si>
    <t>God is helping me</t>
  </si>
  <si>
    <t>I'm not full and complete in Christ. There is place for addition.</t>
  </si>
  <si>
    <t>https://drive.google.com/open?id=1IH4xOldsCJQMyG_x79E6sVMnYj_Rbdbk</t>
  </si>
  <si>
    <t>https://drive.google.com/open?id=1b6PUdjQx34nVYdDQssJmCA5mFWNAncfr</t>
  </si>
  <si>
    <t xml:space="preserve">Helps me to pray more </t>
  </si>
  <si>
    <t xml:space="preserve">A man who understands prayer knows that he needs prayer </t>
  </si>
  <si>
    <t xml:space="preserve">The teaching time </t>
  </si>
  <si>
    <t>https://drive.google.com/open?id=1aW4IFQlmNNw_k9Y7-yTzQBf8whsSBE7f</t>
  </si>
  <si>
    <t xml:space="preserve">The spiritual blessing spill to the physical </t>
  </si>
  <si>
    <t>https://drive.google.com/open?id=1PIvRVgtt3l5OV133QghYAswU3Ewr1vZ8</t>
  </si>
  <si>
    <t>The are on holiday⁸</t>
  </si>
  <si>
    <t>https://drive.google.com/open?id=15Siq7Kl-ybm44zYOKqL9z9WaufxjV62j</t>
  </si>
  <si>
    <t>We're finished work of God. Nothing is missing in us as believers. We have received everything that made God.</t>
  </si>
  <si>
    <t>Everything is impactful.</t>
  </si>
  <si>
    <t>https://drive.google.com/open?id=1HXMnIScMFQfoWlImcGHdy60pHr8ra_Ix</t>
  </si>
  <si>
    <t>https://drive.google.com/open?id=1eZcf2MsFbJjrD0NLNKLCEHip2IdL1iRP</t>
  </si>
  <si>
    <t>https://drive.google.com/open?id=1guaWmejs0kfcBeaIS5fZagVNQ8zToB32</t>
  </si>
  <si>
    <t xml:space="preserve">The holy Spirit is the help of God for me </t>
  </si>
  <si>
    <t>https://drive.google.com/open?id=1q8h4i0gAWm-g9O7wIyNfr5gXuvgv42tF</t>
  </si>
  <si>
    <t xml:space="preserve">It has really helped me </t>
  </si>
  <si>
    <t>https://drive.google.com/open?id=1wAehiQ8cybCo0bgSFru0pP9nY45pFBi3</t>
  </si>
  <si>
    <t>https://drive.google.com/open?id=1e8yaPI-YWSdPD9weHCjE-T9bb_x9-loz</t>
  </si>
  <si>
    <t>https://drive.google.com/open?id=1Z-CfQf1wjXDbBHGl0TcZ9oAiVaxpkkaF</t>
  </si>
  <si>
    <t>https://drive.google.com/open?id=1yh0eLCb8fA7fi2cRCiWvx2KfEfDoob43</t>
  </si>
  <si>
    <t>https://drive.google.com/open?id=1XWrxjMltiyUCfTG5lmChL26sZjf8e_m9</t>
  </si>
  <si>
    <t>It has help me to have a consistent prayer life</t>
  </si>
  <si>
    <t>I wasn't there</t>
  </si>
  <si>
    <t>https://drive.google.com/open?id=1CcrCu4-fRtLZxs62a6_V4l2MvsQZgp-P</t>
  </si>
  <si>
    <t xml:space="preserve">I don't have much </t>
  </si>
  <si>
    <t>It has help me to know that I am a finished work of Christ. No addition and no subtraction.</t>
  </si>
  <si>
    <t>https://drive.google.com/open?id=1bGPhTYqhRUIwS7PITuv3GSwu3Y_ps_YP</t>
  </si>
  <si>
    <t xml:space="preserve">She's not around </t>
  </si>
  <si>
    <t>https://drive.google.com/open?id=1q-67nOsQpX0X9zDJYbrhmQEydCVWQmGZ</t>
  </si>
  <si>
    <t>It help me to set my mind on the things above.</t>
  </si>
  <si>
    <t>We've the fullness of God in us but we grow into it.</t>
  </si>
  <si>
    <t>https://drive.google.com/open?id=1FCvKTm9Em0DPZzwiIA6TAhZ7L1GetiVJ</t>
  </si>
  <si>
    <t>I'm expecting money.</t>
  </si>
  <si>
    <t>It help me to understand who I am in Christ.</t>
  </si>
  <si>
    <t>https://drive.google.com/open?id=1OK5ldx3T0Bl6YElSYi1R3Oz-r5rYxx1m</t>
  </si>
  <si>
    <t>https://drive.google.com/open?id=1jReabQmA4UOh17vOFx2kwa12jHgk6YVw</t>
  </si>
  <si>
    <t xml:space="preserve">No </t>
  </si>
  <si>
    <t>https://drive.google.com/open?id=1HPj-iUFLVv98LUSvmuLQ3l3a55ltb4kV</t>
  </si>
  <si>
    <t xml:space="preserve">It has help me to lay hold on what God has done through Christ instead of thinking of what Satan is doing </t>
  </si>
  <si>
    <t xml:space="preserve">Die to work </t>
  </si>
  <si>
    <t>https://drive.google.com/open?id=1urS44JSAQrNIy0rhoNLew3g5qVzGlf-X</t>
  </si>
  <si>
    <t>https://drive.google.com/open?id=1qqsDVdj2Jk1gbGYmWDTfYL-04tuJy3or</t>
  </si>
  <si>
    <t xml:space="preserve">The fullness in Christ is the grace of God </t>
  </si>
  <si>
    <t>We received strength in the place of prayer</t>
  </si>
  <si>
    <t>https://drive.google.com/open?id=1nk_uVdE8Qkb41D0g075VddL46yadhvRF</t>
  </si>
  <si>
    <t>I'm expecting sales</t>
  </si>
  <si>
    <t>https://drive.google.com/open?id=1XfVuBokpEx4zjZm115OrafqMankv6C7W</t>
  </si>
  <si>
    <t>https://drive.google.com/open?id=16tdQMu3V5i1dBHpmE58XiNiQSCrhl7_s</t>
  </si>
  <si>
    <t>October</t>
  </si>
  <si>
    <t>Knowledge is key in expressing the fullness of God. Therefore I must give myself to the word of God.</t>
  </si>
  <si>
    <t>When you're rooted in the knowledge of God's word it helps you in expressing who you're as you ought to.</t>
  </si>
  <si>
    <t>https://drive.google.com/open?id=1nlZvL-cNl2jUMVd8bXrk0tnCFzc_Oi49, https://drive.google.com/open?id=1GdtC4xwew7wciAYVLdBFqGxHfzcvDdAC</t>
  </si>
  <si>
    <t>Nothing. I will do the needful before the month runs out.</t>
  </si>
  <si>
    <t>https://drive.google.com/open?id=10Y1xtbk3n5bjfwTnfc8CfH4BSW6XRg2B</t>
  </si>
  <si>
    <t>https://drive.google.com/open?id=1xYqwf-tOTfk2SepjbC-w_6OILvtIb5He</t>
  </si>
  <si>
    <t>November</t>
  </si>
  <si>
    <t xml:space="preserve">Strengthening </t>
  </si>
  <si>
    <t xml:space="preserve">Discipline refers to self control or control of one’s behavior, resisting temptations and obedience to rules. </t>
  </si>
  <si>
    <t xml:space="preserve">You need to put rules/ standards in place in writing, so that you can remain discipline </t>
  </si>
  <si>
    <t>https://drive.google.com/open?id=11WJvOcmh1K0v656LOlI8i85FR9oZUQ9I</t>
  </si>
  <si>
    <t xml:space="preserve">No financial capacity for now. </t>
  </si>
  <si>
    <t>We are born of God therefore we are his own, we belong to him and him alone l</t>
  </si>
  <si>
    <t>https://drive.google.com/open?id=17zJcnne2ChFMNtNSi2ERRDslInpoXsFp</t>
  </si>
  <si>
    <t xml:space="preserve">I don’t have any </t>
  </si>
  <si>
    <t>https://drive.google.com/open?id=1XDnpd_CTbL8m4Rsrh7VXppIrIk52Tk6G</t>
  </si>
  <si>
    <t xml:space="preserve">Discipline means self control </t>
  </si>
  <si>
    <t xml:space="preserve">God discipline us so that he can save us from ourselves </t>
  </si>
  <si>
    <t>https://drive.google.com/open?id=1kY_mr1e32gK6mJuB2eVhS8DpPlhKWw0C</t>
  </si>
  <si>
    <t>https://drive.google.com/open?id=10Tub0Qu8GVBbCGTHkW2C7coE3VpvQMa8</t>
  </si>
  <si>
    <t>https://drive.google.com/open?id=1XbAt3oPqtzr0qukLH92U1xZaYUOZL-8a</t>
  </si>
  <si>
    <t>I don't attend</t>
  </si>
  <si>
    <t>https://drive.google.com/open?id=1EvyAIuX14d5woH4yAukljXkmcRDVBdkj</t>
  </si>
  <si>
    <t>https://drive.google.com/open?id=1dcEobBxwFGL4SEYee22qXb_5TW_kbf54</t>
  </si>
  <si>
    <t>https://drive.google.com/open?id=1Ey9Jk_Rc17soQ4y5ajRMB-2KHHTvjozK</t>
  </si>
  <si>
    <t>Helping me have a consistent prayer life</t>
  </si>
  <si>
    <t>I don't have the capacity of myself to do right.</t>
  </si>
  <si>
    <t xml:space="preserve">Rightness is in our spirit </t>
  </si>
  <si>
    <t>https://drive.google.com/open?id=1NkWO6flpFRcWgtaM52gR1bGv03RumhfK</t>
  </si>
  <si>
    <t>Listening to the word of His grace help me to be conscious of my true identity in Christ</t>
  </si>
  <si>
    <t>https://drive.google.com/open?id=1r_LKYQTYBMdTYnZfTilIA11aDHHX8eeW</t>
  </si>
  <si>
    <t>https://drive.google.com/open?id=1cPiBYGqPGBx-5rlOkcSYg5y17XOq_KFd</t>
  </si>
  <si>
    <t>Discipline help us so that we might share in God's holiness.</t>
  </si>
  <si>
    <t>Discipline is training. Training is key in our lives. It's something that we must take seriously. It requires our intentionality.</t>
  </si>
  <si>
    <t>https://drive.google.com/open?id=1XR9Vkp_wxiQuxG4uL67PnB9SiSUcMNW6, https://drive.google.com/open?id=1b_66J0T7BEZu7cRvdnyBI43Nkbesc8fK</t>
  </si>
  <si>
    <t>https://drive.google.com/open?id=1097GDgimFu1Bfo2lkZiOPrzZbFcJgw8X</t>
  </si>
  <si>
    <t>https://drive.google.com/open?id=1lEXU6IvnKUT5MhxFsnV1GpZsGyA2iq65</t>
  </si>
  <si>
    <t xml:space="preserve">Discipline refers to self control </t>
  </si>
  <si>
    <t>The flesh and spirit wants to rule but the spirit is where rightness is</t>
  </si>
  <si>
    <t>https://drive.google.com/open?id=1vxQV0w_u1arhj_BE71I6_yVs79Q6a1VB</t>
  </si>
  <si>
    <t>Finance</t>
  </si>
  <si>
    <t>https://drive.google.com/open?id=1q0wC0K9VTDtjnEZDdo5o5czXq6TUwgr8</t>
  </si>
  <si>
    <t>https://drive.google.com/open?id=1MPpcHKHnaXsO_DXIJ-HwqCmrj2NR2FcW</t>
  </si>
  <si>
    <t xml:space="preserve">It has help me to have consistent prayer life </t>
  </si>
  <si>
    <t>https://drive.google.com/open?id=1S6VrFH2Q6eOxW7qR87ycHk62Ue41Ksh1</t>
  </si>
  <si>
    <t>I will listen today</t>
  </si>
  <si>
    <t>https://drive.google.com/open?id=1oPfh4kogCWPc9w8YuCIT8bzkaCiDCZh1</t>
  </si>
  <si>
    <t xml:space="preserve">She travelled </t>
  </si>
  <si>
    <t>https://drive.google.com/open?id=1F-uDxkQuz16KCLnq3-0i-5NUSUmvWG88</t>
  </si>
  <si>
    <t>adetumiadefokun@gmail.com</t>
  </si>
  <si>
    <t xml:space="preserve">Help me to pray better </t>
  </si>
  <si>
    <t xml:space="preserve">That God want me to live in the spirit </t>
  </si>
  <si>
    <t xml:space="preserve">The flesh want to his life and the spirit too but the spirit has the best life </t>
  </si>
  <si>
    <t>https://drive.google.com/open?id=1yWxdusD298rjLmZuI2h8Tok9GPDK-Pgj</t>
  </si>
  <si>
    <t xml:space="preserve">My salvation is by grace not of works </t>
  </si>
  <si>
    <t>https://drive.google.com/open?id=1gzyNo1PdOVhYpdsmL3s25HWWOQNvgY_4</t>
  </si>
  <si>
    <t>https://drive.google.com/open?id=1zhg47HANLrbhUrw2q0ZlGRSCRcqnXRQ1</t>
  </si>
  <si>
    <t xml:space="preserve">Trusting God for their response </t>
  </si>
  <si>
    <t>Name</t>
  </si>
  <si>
    <t>Kindly upload a Well Written Evangelism Record
(Follow the template given above)2</t>
  </si>
  <si>
    <t>Additional Comment(s)3</t>
  </si>
  <si>
    <t>University Of Ilesa, Osun State</t>
  </si>
  <si>
    <t>Jan</t>
  </si>
  <si>
    <t>Feb</t>
  </si>
  <si>
    <t>Mar</t>
  </si>
  <si>
    <t>Apr</t>
  </si>
  <si>
    <t>May</t>
  </si>
  <si>
    <t>Jun</t>
  </si>
  <si>
    <t>Jul</t>
  </si>
  <si>
    <t>Aug</t>
  </si>
  <si>
    <t>Sep</t>
  </si>
  <si>
    <t>Oct</t>
  </si>
  <si>
    <t>Nov</t>
  </si>
  <si>
    <t>Dec</t>
  </si>
  <si>
    <t>Total</t>
  </si>
  <si>
    <t>Oniyide Rebecca</t>
  </si>
  <si>
    <t>Adefokun Adetumi Ebenezer</t>
  </si>
  <si>
    <t>Akerewusi Oluwadamilare</t>
  </si>
  <si>
    <t>Durodola Ololade</t>
  </si>
  <si>
    <t>Ogundare Olamide Emmanuel</t>
  </si>
  <si>
    <t>Abayomi Temitayo Ezekiel</t>
  </si>
  <si>
    <t>Oyewumi Mary.A</t>
  </si>
  <si>
    <t>Oyewumi Mary Abosede</t>
  </si>
  <si>
    <t>Arigbede Iyanuoluwa Testimony</t>
  </si>
  <si>
    <t>O. J Arigbede Esq</t>
  </si>
  <si>
    <t>Akerewusi Motunrayo</t>
  </si>
  <si>
    <t>Akerewusi Oluwadamilare Adekusibe</t>
  </si>
  <si>
    <t>Mary Oyewumi</t>
  </si>
  <si>
    <t>Veronica Abiola Iyabo</t>
  </si>
  <si>
    <t>Alaba Precious Oluwaferanmi</t>
  </si>
  <si>
    <t>Veronica Olaremi Abiola</t>
  </si>
  <si>
    <t>Oluyemi Promise</t>
  </si>
  <si>
    <t>Owolabi Mary</t>
  </si>
  <si>
    <t>Owolabi Mary Blessing</t>
  </si>
  <si>
    <t>Abayomi Temitayo E</t>
  </si>
  <si>
    <t>Adefokun Timileyin Victoria</t>
  </si>
  <si>
    <t>Abosede Mary Oyewumi</t>
  </si>
  <si>
    <t>Oniyide Rebecca Mololuwa</t>
  </si>
  <si>
    <t>O. J Arigbede Esq.</t>
  </si>
  <si>
    <t>Asp Durodola Ololade</t>
  </si>
  <si>
    <t>Adefokun Adetumi</t>
  </si>
  <si>
    <t>Akerewusi Motunrayo Elizabeth</t>
  </si>
  <si>
    <t>Akinleye Ayomide Deborah</t>
  </si>
  <si>
    <t>Mary Blessing Owolabi</t>
  </si>
  <si>
    <t>Pastor Ololade</t>
  </si>
  <si>
    <t>Total per Worker</t>
  </si>
  <si>
    <t>S/N</t>
  </si>
  <si>
    <t>Submission Datetime</t>
  </si>
  <si>
    <t>Total per Branch</t>
  </si>
  <si>
    <t>July</t>
  </si>
  <si>
    <t>August</t>
  </si>
  <si>
    <t>December</t>
  </si>
  <si>
    <t>No of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</si>
</sst>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13" x14ac:knownFonts="1">
    <font>
      <sz val="10"/>
      <color rgb="FF000000"/>
      <name val="Arial"/>
      <scheme val="minor"/>
    </font>
    <font>
      <sz val="10"/>
      <color theme="1"/>
      <name val="Arial"/>
      <scheme val="minor"/>
    </font>
    <font>
      <u/>
      <sz val="10"/>
      <color rgb="FF0000FF"/>
      <name val="Arial"/>
    </font>
    <font>
      <u/>
      <sz val="10"/>
      <color rgb="FF0000FF"/>
      <name val="Arial"/>
    </font>
    <font>
      <u/>
      <sz val="10"/>
      <color theme="10"/>
      <name val="Arial"/>
      <scheme val="minor"/>
    </font>
    <font>
      <b/>
      <sz val="10"/>
      <color theme="1"/>
      <name val="Arial"/>
      <family val="2"/>
      <scheme val="minor"/>
    </font>
    <font>
      <b/>
      <sz val="10"/>
      <color theme="2"/>
      <name val="Arial"/>
      <family val="2"/>
      <scheme val="minor"/>
    </font>
    <font>
      <b/>
      <sz val="10"/>
      <color rgb="FF000000"/>
      <name val="Arial"/>
      <family val="2"/>
      <scheme val="minor"/>
    </font>
    <font>
      <sz val="8"/>
      <name val="Arial"/>
      <family val="2"/>
      <scheme val="minor"/>
    </font>
    <font>
      <b/>
      <sz val="10"/>
      <color theme="0"/>
      <name val="Arial"/>
      <family val="2"/>
      <scheme val="minor"/>
    </font>
    <font>
      <sz val="10"/>
      <name val="Arial"/>
      <family val="2"/>
      <scheme val="minor"/>
    </font>
    <font>
      <b/>
      <sz val="12"/>
      <color rgb="FF000000"/>
      <name val="Arial"/>
      <family val="2"/>
      <scheme val="minor"/>
    </font>
    <font>
      <sz val="8"/>
      <name val="Arial"/>
      <scheme val="minor"/>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9">
    <xf numFmtId="0" fontId="0" fillId="0" borderId="0" xfId="0"/>
    <xf numFmtId="164" fontId="1" fillId="2" borderId="0" xfId="0" applyNumberFormat="1" applyFont="1" applyFill="1"/>
    <xf numFmtId="0" fontId="1" fillId="2" borderId="0" xfId="0" applyFont="1" applyFill="1"/>
    <xf numFmtId="0" fontId="2" fillId="2" borderId="0" xfId="0" applyFont="1" applyFill="1"/>
    <xf numFmtId="164" fontId="1" fillId="3" borderId="0" xfId="0" applyNumberFormat="1" applyFont="1" applyFill="1"/>
    <xf numFmtId="0" fontId="1" fillId="3" borderId="0" xfId="0" applyFont="1" applyFill="1"/>
    <xf numFmtId="0" fontId="3" fillId="3" borderId="0" xfId="0" applyFont="1" applyFill="1"/>
    <xf numFmtId="0" fontId="5" fillId="0" borderId="0" xfId="0" applyFont="1" applyAlignment="1">
      <alignment vertical="center"/>
    </xf>
    <xf numFmtId="0" fontId="6" fillId="0" borderId="0" xfId="0" applyFont="1" applyAlignment="1">
      <alignment vertical="center"/>
    </xf>
    <xf numFmtId="0" fontId="6" fillId="0" borderId="0" xfId="0" applyFont="1" applyAlignment="1">
      <alignment vertical="center" wrapText="1"/>
    </xf>
    <xf numFmtId="0" fontId="7" fillId="0" borderId="0" xfId="0" applyFont="1"/>
    <xf numFmtId="0" fontId="10" fillId="0" borderId="0" xfId="1" applyFont="1" applyFill="1"/>
    <xf numFmtId="0" fontId="10" fillId="0" borderId="0" xfId="0" applyFont="1"/>
    <xf numFmtId="0" fontId="11" fillId="0" borderId="0" xfId="0" applyFont="1"/>
    <xf numFmtId="0" fontId="9" fillId="0" borderId="0" xfId="0" applyFont="1"/>
    <xf numFmtId="0" fontId="6" fillId="0" borderId="0" xfId="0" applyFont="1" applyAlignment="1">
      <alignment horizontal="right" vertical="center"/>
    </xf>
    <xf numFmtId="0" fontId="1" fillId="2" borderId="0" xfId="0" applyFont="1" applyFill="1" applyAlignment="1">
      <alignment horizontal="right"/>
    </xf>
    <xf numFmtId="0" fontId="1" fillId="3" borderId="0" xfId="0" applyFont="1" applyFill="1" applyAlignment="1">
      <alignment horizontal="right"/>
    </xf>
    <xf numFmtId="0" fontId="0" fillId="0" borderId="0" xfId="0" applyAlignment="1">
      <alignment horizontal="right"/>
    </xf>
  </cellXfs>
  <cellStyles count="2">
    <cellStyle name="Hyperlink" xfId="1" builtinId="8"/>
    <cellStyle name="Normal" xfId="0" builtinId="0"/>
  </cellStyles>
  <dxfs count="40">
    <dxf>
      <font>
        <b val="0"/>
        <i val="0"/>
        <strike val="0"/>
        <condense val="0"/>
        <extend val="0"/>
        <outline val="0"/>
        <shadow val="0"/>
        <u val="none"/>
        <vertAlign val="baseline"/>
        <sz val="10"/>
        <color theme="1"/>
        <name val="Arial"/>
        <scheme val="minor"/>
      </font>
      <fill>
        <patternFill patternType="solid">
          <fgColor rgb="FFF8F9FA"/>
          <bgColor rgb="FFF8F9FA"/>
        </patternFill>
      </fill>
      <alignment horizontal="right" textRotation="0" wrapText="0" indent="0" justifyLastLine="0" shrinkToFit="0" readingOrder="0"/>
    </dxf>
    <dxf>
      <font>
        <b val="0"/>
        <i val="0"/>
        <strike val="0"/>
        <condense val="0"/>
        <extend val="0"/>
        <outline val="0"/>
        <shadow val="0"/>
        <u val="none"/>
        <vertAlign val="baseline"/>
        <sz val="10"/>
        <color theme="1"/>
        <name val="Arial"/>
        <scheme val="minor"/>
      </font>
      <fill>
        <patternFill patternType="solid">
          <fgColor rgb="FFF8F9FA"/>
          <bgColor rgb="FFF8F9FA"/>
        </patternFill>
      </fill>
    </dxf>
    <dxf>
      <font>
        <b val="0"/>
        <i val="0"/>
        <strike val="0"/>
        <condense val="0"/>
        <extend val="0"/>
        <outline val="0"/>
        <shadow val="0"/>
        <u val="none"/>
        <vertAlign val="baseline"/>
        <sz val="10"/>
        <color theme="1"/>
        <name val="Arial"/>
        <scheme val="minor"/>
      </font>
      <numFmt numFmtId="164" formatCode="m/d/yyyy\ h:mm:ss"/>
      <fill>
        <patternFill patternType="solid">
          <fgColor rgb="FFF8F9FA"/>
          <bgColor rgb="FFF8F9FA"/>
        </patternFill>
      </fill>
    </dxf>
    <dxf>
      <font>
        <b/>
        <i val="0"/>
        <strike val="0"/>
        <condense val="0"/>
        <extend val="0"/>
        <outline val="0"/>
        <shadow val="0"/>
        <u val="none"/>
        <vertAlign val="baseline"/>
        <sz val="10"/>
        <color rgb="FF000000"/>
        <name val="Arial"/>
        <family val="2"/>
        <scheme val="minor"/>
      </font>
    </dxf>
    <dxf>
      <font>
        <b/>
        <i val="0"/>
        <strike val="0"/>
        <condense val="0"/>
        <extend val="0"/>
        <outline val="0"/>
        <shadow val="0"/>
        <u val="none"/>
        <vertAlign val="baseline"/>
        <sz val="12"/>
        <color rgb="FF000000"/>
        <name val="Arial"/>
        <family val="2"/>
        <scheme val="minor"/>
      </font>
    </dxf>
    <dxf>
      <font>
        <b/>
        <i val="0"/>
        <strike val="0"/>
        <condense val="0"/>
        <extend val="0"/>
        <outline val="0"/>
        <shadow val="0"/>
        <u val="none"/>
        <vertAlign val="baseline"/>
        <sz val="12"/>
        <color rgb="FF000000"/>
        <name val="Arial"/>
        <family val="2"/>
        <scheme val="minor"/>
      </font>
    </dxf>
    <dxf>
      <font>
        <b/>
        <i val="0"/>
        <strike val="0"/>
        <condense val="0"/>
        <extend val="0"/>
        <outline val="0"/>
        <shadow val="0"/>
        <u val="none"/>
        <vertAlign val="baseline"/>
        <sz val="12"/>
        <color rgb="FF000000"/>
        <name val="Arial"/>
        <family val="2"/>
        <scheme val="minor"/>
      </font>
    </dxf>
    <dxf>
      <font>
        <b/>
        <i val="0"/>
        <strike val="0"/>
        <condense val="0"/>
        <extend val="0"/>
        <outline val="0"/>
        <shadow val="0"/>
        <u val="none"/>
        <vertAlign val="baseline"/>
        <sz val="12"/>
        <color rgb="FF000000"/>
        <name val="Arial"/>
        <family val="2"/>
        <scheme val="minor"/>
      </font>
    </dxf>
    <dxf>
      <font>
        <b/>
        <i val="0"/>
        <strike val="0"/>
        <condense val="0"/>
        <extend val="0"/>
        <outline val="0"/>
        <shadow val="0"/>
        <u val="none"/>
        <vertAlign val="baseline"/>
        <sz val="12"/>
        <color rgb="FF000000"/>
        <name val="Arial"/>
        <family val="2"/>
        <scheme val="minor"/>
      </font>
    </dxf>
    <dxf>
      <font>
        <b/>
        <i val="0"/>
        <strike val="0"/>
        <condense val="0"/>
        <extend val="0"/>
        <outline val="0"/>
        <shadow val="0"/>
        <u val="none"/>
        <vertAlign val="baseline"/>
        <sz val="12"/>
        <color rgb="FF000000"/>
        <name val="Arial"/>
        <family val="2"/>
        <scheme val="minor"/>
      </font>
    </dxf>
    <dxf>
      <font>
        <b/>
        <i val="0"/>
        <strike val="0"/>
        <condense val="0"/>
        <extend val="0"/>
        <outline val="0"/>
        <shadow val="0"/>
        <u val="none"/>
        <vertAlign val="baseline"/>
        <sz val="12"/>
        <color rgb="FF000000"/>
        <name val="Arial"/>
        <family val="2"/>
        <scheme val="minor"/>
      </font>
    </dxf>
    <dxf>
      <font>
        <b/>
        <i val="0"/>
        <strike val="0"/>
        <condense val="0"/>
        <extend val="0"/>
        <outline val="0"/>
        <shadow val="0"/>
        <u val="none"/>
        <vertAlign val="baseline"/>
        <sz val="12"/>
        <color rgb="FF000000"/>
        <name val="Arial"/>
        <family val="2"/>
        <scheme val="minor"/>
      </font>
    </dxf>
    <dxf>
      <font>
        <b/>
        <i val="0"/>
        <strike val="0"/>
        <condense val="0"/>
        <extend val="0"/>
        <outline val="0"/>
        <shadow val="0"/>
        <u val="none"/>
        <vertAlign val="baseline"/>
        <sz val="12"/>
        <color rgb="FF000000"/>
        <name val="Arial"/>
        <family val="2"/>
        <scheme val="minor"/>
      </font>
    </dxf>
    <dxf>
      <font>
        <b/>
        <i val="0"/>
        <strike val="0"/>
        <condense val="0"/>
        <extend val="0"/>
        <outline val="0"/>
        <shadow val="0"/>
        <u val="none"/>
        <vertAlign val="baseline"/>
        <sz val="12"/>
        <color rgb="FF000000"/>
        <name val="Arial"/>
        <family val="2"/>
        <scheme val="minor"/>
      </font>
    </dxf>
    <dxf>
      <font>
        <b/>
        <i val="0"/>
        <strike val="0"/>
        <condense val="0"/>
        <extend val="0"/>
        <outline val="0"/>
        <shadow val="0"/>
        <u val="none"/>
        <vertAlign val="baseline"/>
        <sz val="12"/>
        <color rgb="FF000000"/>
        <name val="Arial"/>
        <family val="2"/>
        <scheme val="minor"/>
      </font>
    </dxf>
    <dxf>
      <font>
        <b/>
        <i val="0"/>
        <strike val="0"/>
        <condense val="0"/>
        <extend val="0"/>
        <outline val="0"/>
        <shadow val="0"/>
        <u val="none"/>
        <vertAlign val="baseline"/>
        <sz val="12"/>
        <color rgb="FF000000"/>
        <name val="Arial"/>
        <family val="2"/>
        <scheme val="minor"/>
      </font>
    </dxf>
    <dxf>
      <font>
        <b/>
        <i val="0"/>
        <strike val="0"/>
        <condense val="0"/>
        <extend val="0"/>
        <outline val="0"/>
        <shadow val="0"/>
        <u val="none"/>
        <vertAlign val="baseline"/>
        <sz val="12"/>
        <color rgb="FF000000"/>
        <name val="Arial"/>
        <family val="2"/>
        <scheme val="minor"/>
      </font>
    </dxf>
    <dxf>
      <font>
        <b/>
        <i val="0"/>
        <strike val="0"/>
        <condense val="0"/>
        <extend val="0"/>
        <outline val="0"/>
        <shadow val="0"/>
        <u val="none"/>
        <vertAlign val="baseline"/>
        <sz val="10"/>
        <color rgb="FF000000"/>
        <name val="Arial"/>
        <family val="2"/>
        <scheme val="minor"/>
      </font>
      <alignment horizontal="center" vertical="center" textRotation="0" wrapText="0" indent="0" justifyLastLine="0" shrinkToFit="0" readingOrder="0"/>
    </dxf>
    <dxf>
      <font>
        <b/>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auto="1"/>
        <name val="Arial"/>
        <family val="2"/>
        <scheme val="minor"/>
      </font>
      <fill>
        <patternFill patternType="none">
          <fgColor indexed="64"/>
          <bgColor indexed="65"/>
        </patternFill>
      </fill>
    </dxf>
    <dxf>
      <font>
        <b val="0"/>
        <i val="0"/>
        <strike val="0"/>
        <condense val="0"/>
        <extend val="0"/>
        <outline val="0"/>
        <shadow val="0"/>
        <u val="none"/>
        <vertAlign val="baseline"/>
        <sz val="10"/>
        <color auto="1"/>
        <name val="Arial"/>
        <family val="2"/>
        <scheme val="minor"/>
      </font>
      <fill>
        <patternFill patternType="none">
          <fgColor indexed="64"/>
          <bgColor indexed="65"/>
        </patternFill>
      </fill>
    </dxf>
    <dxf>
      <font>
        <b/>
        <i val="0"/>
        <strike val="0"/>
        <condense val="0"/>
        <extend val="0"/>
        <outline val="0"/>
        <shadow val="0"/>
        <u val="none"/>
        <vertAlign val="baseline"/>
        <sz val="10"/>
        <color rgb="FF000000"/>
        <name val="Arial"/>
        <family val="2"/>
        <scheme val="minor"/>
      </font>
    </dxf>
    <dxf>
      <font>
        <b val="0"/>
        <i val="0"/>
        <strike val="0"/>
        <condense val="0"/>
        <extend val="0"/>
        <outline val="0"/>
        <shadow val="0"/>
        <u/>
        <vertAlign val="baseline"/>
        <sz val="10"/>
        <color rgb="FF0000FF"/>
        <name val="Arial"/>
        <scheme val="none"/>
      </font>
      <fill>
        <patternFill patternType="solid">
          <fgColor rgb="FFF8F9FA"/>
          <bgColor rgb="FFF8F9FA"/>
        </patternFill>
      </fill>
    </dxf>
    <dxf>
      <font>
        <b val="0"/>
        <i val="0"/>
        <strike val="0"/>
        <condense val="0"/>
        <extend val="0"/>
        <outline val="0"/>
        <shadow val="0"/>
        <u val="none"/>
        <vertAlign val="baseline"/>
        <sz val="10"/>
        <color theme="1"/>
        <name val="Arial"/>
        <scheme val="minor"/>
      </font>
      <fill>
        <patternFill patternType="solid">
          <fgColor rgb="FFF8F9FA"/>
          <bgColor rgb="FFF8F9FA"/>
        </patternFill>
      </fill>
    </dxf>
    <dxf>
      <font>
        <b val="0"/>
        <i val="0"/>
        <strike val="0"/>
        <condense val="0"/>
        <extend val="0"/>
        <outline val="0"/>
        <shadow val="0"/>
        <u/>
        <vertAlign val="baseline"/>
        <sz val="10"/>
        <color rgb="FF0000FF"/>
        <name val="Arial"/>
        <scheme val="none"/>
      </font>
      <fill>
        <patternFill patternType="solid">
          <fgColor rgb="FFF8F9FA"/>
          <bgColor rgb="FFF8F9FA"/>
        </patternFill>
      </fill>
    </dxf>
    <dxf>
      <font>
        <b val="0"/>
        <i val="0"/>
        <strike val="0"/>
        <condense val="0"/>
        <extend val="0"/>
        <outline val="0"/>
        <shadow val="0"/>
        <u val="none"/>
        <vertAlign val="baseline"/>
        <sz val="10"/>
        <color theme="1"/>
        <name val="Arial"/>
        <scheme val="minor"/>
      </font>
      <fill>
        <patternFill patternType="solid">
          <fgColor rgb="FFF8F9FA"/>
          <bgColor rgb="FFF8F9FA"/>
        </patternFill>
      </fill>
    </dxf>
    <dxf>
      <font>
        <b val="0"/>
        <i val="0"/>
        <strike val="0"/>
        <condense val="0"/>
        <extend val="0"/>
        <outline val="0"/>
        <shadow val="0"/>
        <u val="none"/>
        <vertAlign val="baseline"/>
        <sz val="10"/>
        <color theme="1"/>
        <name val="Arial"/>
        <scheme val="minor"/>
      </font>
      <fill>
        <patternFill patternType="solid">
          <fgColor rgb="FFF8F9FA"/>
          <bgColor rgb="FFF8F9FA"/>
        </patternFill>
      </fill>
    </dxf>
    <dxf>
      <font>
        <b val="0"/>
        <i val="0"/>
        <strike val="0"/>
        <condense val="0"/>
        <extend val="0"/>
        <outline val="0"/>
        <shadow val="0"/>
        <u val="none"/>
        <vertAlign val="baseline"/>
        <sz val="10"/>
        <color theme="1"/>
        <name val="Arial"/>
        <scheme val="minor"/>
      </font>
      <fill>
        <patternFill patternType="solid">
          <fgColor rgb="FFF8F9FA"/>
          <bgColor rgb="FFF8F9FA"/>
        </patternFill>
      </fill>
    </dxf>
    <dxf>
      <font>
        <b val="0"/>
        <i val="0"/>
        <strike val="0"/>
        <condense val="0"/>
        <extend val="0"/>
        <outline val="0"/>
        <shadow val="0"/>
        <u val="none"/>
        <vertAlign val="baseline"/>
        <sz val="10"/>
        <color theme="1"/>
        <name val="Arial"/>
        <scheme val="minor"/>
      </font>
      <fill>
        <patternFill patternType="solid">
          <fgColor rgb="FFF8F9FA"/>
          <bgColor rgb="FFF8F9FA"/>
        </patternFill>
      </fill>
    </dxf>
    <dxf>
      <font>
        <b val="0"/>
        <i val="0"/>
        <strike val="0"/>
        <condense val="0"/>
        <extend val="0"/>
        <outline val="0"/>
        <shadow val="0"/>
        <u/>
        <vertAlign val="baseline"/>
        <sz val="10"/>
        <color rgb="FF0000FF"/>
        <name val="Arial"/>
        <scheme val="none"/>
      </font>
      <fill>
        <patternFill patternType="solid">
          <fgColor rgb="FFF8F9FA"/>
          <bgColor rgb="FFF8F9FA"/>
        </patternFill>
      </fill>
    </dxf>
    <dxf>
      <font>
        <b val="0"/>
        <i val="0"/>
        <strike val="0"/>
        <condense val="0"/>
        <extend val="0"/>
        <outline val="0"/>
        <shadow val="0"/>
        <u val="none"/>
        <vertAlign val="baseline"/>
        <sz val="10"/>
        <color theme="1"/>
        <name val="Arial"/>
        <scheme val="minor"/>
      </font>
      <fill>
        <patternFill patternType="solid">
          <fgColor rgb="FFF8F9FA"/>
          <bgColor rgb="FFF8F9FA"/>
        </patternFill>
      </fill>
    </dxf>
    <dxf>
      <font>
        <b val="0"/>
        <i val="0"/>
        <strike val="0"/>
        <condense val="0"/>
        <extend val="0"/>
        <outline val="0"/>
        <shadow val="0"/>
        <u val="none"/>
        <vertAlign val="baseline"/>
        <sz val="10"/>
        <color theme="1"/>
        <name val="Arial"/>
        <scheme val="minor"/>
      </font>
      <fill>
        <patternFill patternType="solid">
          <fgColor rgb="FFF8F9FA"/>
          <bgColor rgb="FFF8F9FA"/>
        </patternFill>
      </fill>
    </dxf>
    <dxf>
      <font>
        <b val="0"/>
        <i val="0"/>
        <strike val="0"/>
        <condense val="0"/>
        <extend val="0"/>
        <outline val="0"/>
        <shadow val="0"/>
        <u val="none"/>
        <vertAlign val="baseline"/>
        <sz val="10"/>
        <color theme="1"/>
        <name val="Arial"/>
        <scheme val="minor"/>
      </font>
      <fill>
        <patternFill patternType="solid">
          <fgColor rgb="FFF8F9FA"/>
          <bgColor rgb="FFF8F9FA"/>
        </patternFill>
      </fill>
    </dxf>
    <dxf>
      <font>
        <b val="0"/>
        <i val="0"/>
        <strike val="0"/>
        <condense val="0"/>
        <extend val="0"/>
        <outline val="0"/>
        <shadow val="0"/>
        <u val="none"/>
        <vertAlign val="baseline"/>
        <sz val="10"/>
        <color theme="1"/>
        <name val="Arial"/>
        <scheme val="minor"/>
      </font>
      <fill>
        <patternFill patternType="solid">
          <fgColor rgb="FFF8F9FA"/>
          <bgColor rgb="FFF8F9FA"/>
        </patternFill>
      </fill>
    </dxf>
    <dxf>
      <font>
        <b val="0"/>
        <i val="0"/>
        <strike val="0"/>
        <condense val="0"/>
        <extend val="0"/>
        <outline val="0"/>
        <shadow val="0"/>
        <u val="none"/>
        <vertAlign val="baseline"/>
        <sz val="10"/>
        <color theme="1"/>
        <name val="Arial"/>
        <scheme val="minor"/>
      </font>
      <fill>
        <patternFill patternType="solid">
          <fgColor rgb="FFF8F9FA"/>
          <bgColor rgb="FFF8F9FA"/>
        </patternFill>
      </fill>
    </dxf>
    <dxf>
      <font>
        <b val="0"/>
        <i val="0"/>
        <strike val="0"/>
        <condense val="0"/>
        <extend val="0"/>
        <outline val="0"/>
        <shadow val="0"/>
        <u val="none"/>
        <vertAlign val="baseline"/>
        <sz val="10"/>
        <color theme="1"/>
        <name val="Arial"/>
        <scheme val="minor"/>
      </font>
      <fill>
        <patternFill patternType="solid">
          <fgColor rgb="FFF8F9FA"/>
          <bgColor rgb="FFF8F9FA"/>
        </patternFill>
      </fill>
    </dxf>
    <dxf>
      <font>
        <b val="0"/>
        <i val="0"/>
        <strike val="0"/>
        <condense val="0"/>
        <extend val="0"/>
        <outline val="0"/>
        <shadow val="0"/>
        <u val="none"/>
        <vertAlign val="baseline"/>
        <sz val="10"/>
        <color theme="1"/>
        <name val="Arial"/>
        <scheme val="minor"/>
      </font>
      <fill>
        <patternFill patternType="solid">
          <fgColor rgb="FFF8F9FA"/>
          <bgColor rgb="FFF8F9FA"/>
        </patternFill>
      </fill>
    </dxf>
    <dxf>
      <font>
        <b val="0"/>
        <i val="0"/>
        <strike val="0"/>
        <condense val="0"/>
        <extend val="0"/>
        <outline val="0"/>
        <shadow val="0"/>
        <u val="none"/>
        <vertAlign val="baseline"/>
        <sz val="10"/>
        <color theme="1"/>
        <name val="Arial"/>
        <scheme val="minor"/>
      </font>
      <fill>
        <patternFill patternType="solid">
          <fgColor rgb="FFF8F9FA"/>
          <bgColor rgb="FFF8F9FA"/>
        </patternFill>
      </fill>
    </dxf>
    <dxf>
      <font>
        <b val="0"/>
        <i val="0"/>
        <strike val="0"/>
        <condense val="0"/>
        <extend val="0"/>
        <outline val="0"/>
        <shadow val="0"/>
        <u val="none"/>
        <vertAlign val="baseline"/>
        <sz val="10"/>
        <color theme="1"/>
        <name val="Arial"/>
        <scheme val="minor"/>
      </font>
      <fill>
        <patternFill patternType="solid">
          <fgColor rgb="FFF8F9FA"/>
          <bgColor rgb="FFF8F9FA"/>
        </patternFill>
      </fill>
    </dxf>
    <dxf>
      <font>
        <b/>
        <i val="0"/>
        <strike val="0"/>
        <condense val="0"/>
        <extend val="0"/>
        <outline val="0"/>
        <shadow val="0"/>
        <u val="none"/>
        <vertAlign val="baseline"/>
        <sz val="10"/>
        <color theme="2"/>
        <name val="Arial"/>
        <family val="2"/>
        <scheme val="minor"/>
      </font>
      <fill>
        <patternFill patternType="none">
          <fgColor indexed="64"/>
          <bgColor indexed="65"/>
        </patternFill>
      </fill>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baseline="0">
                <a:solidFill>
                  <a:schemeClr val="tx1">
                    <a:lumMod val="65000"/>
                    <a:lumOff val="35000"/>
                  </a:schemeClr>
                </a:solidFill>
                <a:latin typeface="+mn-lt"/>
                <a:ea typeface="+mn-ea"/>
                <a:cs typeface="+mn-cs"/>
              </a:defRPr>
            </a:pPr>
            <a:r>
              <a:rPr lang="en-US" sz="1300"/>
              <a:t>Overall Submission per House Fellowship</a:t>
            </a:r>
          </a:p>
        </c:rich>
      </c:tx>
      <c:overlay val="0"/>
      <c:spPr>
        <a:noFill/>
        <a:ln>
          <a:noFill/>
        </a:ln>
        <a:effectLst/>
      </c:spPr>
      <c:txPr>
        <a:bodyPr rot="0" spcFirstLastPara="1" vertOverflow="ellipsis" vert="horz" wrap="square" anchor="ctr" anchorCtr="1"/>
        <a:lstStyle/>
        <a:p>
          <a:pPr>
            <a:defRPr sz="13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'Branch Submission'!$A$2:$A$6</c:f>
              <c:strCache>
                <c:ptCount val="5"/>
                <c:pt idx="0">
                  <c:v>University Of Ilesa, Osun State</c:v>
                </c:pt>
                <c:pt idx="1">
                  <c:v>Ipetu-Ijesha, Osun State</c:v>
                </c:pt>
                <c:pt idx="2">
                  <c:v>Health Tech Bolorunduro, Ilesa, Osun State</c:v>
                </c:pt>
                <c:pt idx="3">
                  <c:v>Esa-Oke, Osun State</c:v>
                </c:pt>
                <c:pt idx="4">
                  <c:v>Headquarters, Egbe-Idi, Ilesa, Osun State</c:v>
                </c:pt>
              </c:strCache>
            </c:strRef>
          </c:cat>
          <c:val>
            <c:numRef>
              <c:f>'Branch Submission'!$N$2:$N$6</c:f>
              <c:numCache>
                <c:formatCode>General</c:formatCode>
                <c:ptCount val="5"/>
                <c:pt idx="0">
                  <c:v>48</c:v>
                </c:pt>
                <c:pt idx="1">
                  <c:v>3</c:v>
                </c:pt>
                <c:pt idx="2">
                  <c:v>19</c:v>
                </c:pt>
                <c:pt idx="3">
                  <c:v>3</c:v>
                </c:pt>
                <c:pt idx="4">
                  <c:v>19</c:v>
                </c:pt>
              </c:numCache>
            </c:numRef>
          </c:val>
          <c:extLst>
            <c:ext xmlns:c16="http://schemas.microsoft.com/office/drawing/2014/chart" uri="{C3380CC4-5D6E-409C-BE32-E72D297353CC}">
              <c16:uniqueId val="{00000000-4B4C-44F5-8F56-6905FFB998D2}"/>
            </c:ext>
          </c:extLst>
        </c:ser>
        <c:dLbls>
          <c:dLblPos val="outEnd"/>
          <c:showLegendKey val="0"/>
          <c:showVal val="1"/>
          <c:showCatName val="0"/>
          <c:showSerName val="0"/>
          <c:showPercent val="0"/>
          <c:showBubbleSize val="0"/>
        </c:dLbls>
        <c:gapWidth val="115"/>
        <c:overlap val="-20"/>
        <c:axId val="885020192"/>
        <c:axId val="885029792"/>
      </c:barChart>
      <c:catAx>
        <c:axId val="8850201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029792"/>
        <c:crosses val="autoZero"/>
        <c:auto val="1"/>
        <c:lblAlgn val="ctr"/>
        <c:lblOffset val="100"/>
        <c:noMultiLvlLbl val="0"/>
      </c:catAx>
      <c:valAx>
        <c:axId val="885029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020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'Branch Submission'!$N$1</c:f>
              <c:strCache>
                <c:ptCount val="1"/>
                <c:pt idx="0">
                  <c:v>Total per Branch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1AF-451D-AD50-D79B82B70BA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1AF-451D-AD50-D79B82B70BA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1AF-451D-AD50-D79B82B70BA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8171-439F-B287-A8A67F00265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1AF-451D-AD50-D79B82B70BA8}"/>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'Branch Submission'!$A$2:$A$6</c:f>
              <c:strCache>
                <c:ptCount val="5"/>
                <c:pt idx="0">
                  <c:v>University Of Ilesa, Osun State</c:v>
                </c:pt>
                <c:pt idx="1">
                  <c:v>Ipetu-Ijesha, Osun State</c:v>
                </c:pt>
                <c:pt idx="2">
                  <c:v>Health Tech Bolorunduro, Ilesa, Osun State</c:v>
                </c:pt>
                <c:pt idx="3">
                  <c:v>Esa-Oke, Osun State</c:v>
                </c:pt>
                <c:pt idx="4">
                  <c:v>Headquarters, Egbe-Idi, Ilesa, Osun State</c:v>
                </c:pt>
              </c:strCache>
            </c:strRef>
          </c:cat>
          <c:val>
            <c:numRef>
              <c:f>'Branch Submission'!$N$2:$N$6</c:f>
              <c:numCache>
                <c:formatCode>General</c:formatCode>
                <c:ptCount val="5"/>
                <c:pt idx="0">
                  <c:v>48</c:v>
                </c:pt>
                <c:pt idx="1">
                  <c:v>3</c:v>
                </c:pt>
                <c:pt idx="2">
                  <c:v>19</c:v>
                </c:pt>
                <c:pt idx="3">
                  <c:v>3</c:v>
                </c:pt>
                <c:pt idx="4">
                  <c:v>19</c:v>
                </c:pt>
              </c:numCache>
            </c:numRef>
          </c:val>
          <c:extLst>
            <c:ext xmlns:c16="http://schemas.microsoft.com/office/drawing/2014/chart" uri="{C3380CC4-5D6E-409C-BE32-E72D297353CC}">
              <c16:uniqueId val="{00000000-8171-439F-B287-A8A67F00265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4166666666666672"/>
          <c:y val="0.23956948089822105"/>
          <c:w val="0.34166666666666667"/>
          <c:h val="0.5900736366287547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Workers Report over the year 2025</a:t>
            </a:r>
          </a:p>
        </c:rich>
      </c:tx>
      <c:layout>
        <c:manualLayout>
          <c:xMode val="edge"/>
          <c:yMode val="edge"/>
          <c:x val="0.2835919584126058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Submission'!$B$1</c:f>
              <c:strCache>
                <c:ptCount val="1"/>
                <c:pt idx="0">
                  <c:v>No of Submission</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Submission'!$A$2:$A$13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Submission'!$B$2:$B$13</c:f>
              <c:numCache>
                <c:formatCode>General</c:formatCode>
                <c:ptCount val="12"/>
                <c:pt idx="0">
                  <c:v>5</c:v>
                </c:pt>
                <c:pt idx="1">
                  <c:v>7</c:v>
                </c:pt>
                <c:pt idx="2">
                  <c:v>36</c:v>
                </c:pt>
                <c:pt idx="3">
                  <c:v>3</c:v>
                </c:pt>
                <c:pt idx="4">
                  <c:v>0</c:v>
                </c:pt>
                <c:pt idx="5">
                  <c:v>22</c:v>
                </c:pt>
                <c:pt idx="6">
                  <c:v>0</c:v>
                </c:pt>
                <c:pt idx="7">
                  <c:v>0</c:v>
                </c:pt>
                <c:pt idx="8">
                  <c:v>10</c:v>
                </c:pt>
                <c:pt idx="9">
                  <c:v>1</c:v>
                </c:pt>
                <c:pt idx="10">
                  <c:v>8</c:v>
                </c:pt>
                <c:pt idx="11">
                  <c:v>0</c:v>
                </c:pt>
              </c:numCache>
            </c:numRef>
          </c:val>
          <c:smooth val="0"/>
          <c:extLst>
            <c:ext xmlns:c16="http://schemas.microsoft.com/office/drawing/2014/chart" uri="{C3380CC4-5D6E-409C-BE32-E72D297353CC}">
              <c16:uniqueId val="{00000000-B6D0-4B9B-9BB5-B423D4BD749E}"/>
            </c:ext>
          </c:extLst>
        </c:ser>
        <c:dLbls>
          <c:dLblPos val="ctr"/>
          <c:showLegendKey val="0"/>
          <c:showVal val="1"/>
          <c:showCatName val="0"/>
          <c:showSerName val="0"/>
          <c:showPercent val="0"/>
          <c:showBubbleSize val="0"/>
        </c:dLbls>
        <c:smooth val="0"/>
        <c:axId val="520614112"/>
        <c:axId val="520634272"/>
      </c:lineChart>
      <c:catAx>
        <c:axId val="520614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634272"/>
        <c:crosses val="autoZero"/>
        <c:auto val="1"/>
        <c:lblAlgn val="ctr"/>
        <c:lblOffset val="100"/>
        <c:noMultiLvlLbl val="0"/>
      </c:catAx>
      <c:valAx>
        <c:axId val="52063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Submission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614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baseline="0">
                <a:solidFill>
                  <a:schemeClr val="dk1">
                    <a:lumMod val="75000"/>
                    <a:lumOff val="25000"/>
                  </a:schemeClr>
                </a:solidFill>
                <a:latin typeface="+mn-lt"/>
                <a:ea typeface="+mn-ea"/>
                <a:cs typeface="+mn-cs"/>
              </a:defRPr>
            </a:pPr>
            <a:r>
              <a:rPr lang="en-US" sz="1300"/>
              <a:t>Monthly Submission</a:t>
            </a:r>
          </a:p>
        </c:rich>
      </c:tx>
      <c:layout>
        <c:manualLayout>
          <c:xMode val="edge"/>
          <c:yMode val="edge"/>
          <c:x val="0.39846506247667868"/>
          <c:y val="4.316710003602494E-2"/>
        </c:manualLayout>
      </c:layout>
      <c:overlay val="0"/>
      <c:spPr>
        <a:noFill/>
        <a:ln>
          <a:noFill/>
        </a:ln>
        <a:effectLst/>
      </c:spPr>
      <c:txPr>
        <a:bodyPr rot="0" spcFirstLastPara="1" vertOverflow="ellipsis" vert="horz" wrap="square" anchor="ctr" anchorCtr="1"/>
        <a:lstStyle/>
        <a:p>
          <a:pPr>
            <a:defRPr sz="13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'Monthly Submission'!$B$1</c:f>
              <c:strCache>
                <c:ptCount val="1"/>
                <c:pt idx="0">
                  <c:v>No of Submission</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'Monthly Submission'!$A$2:$A$13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Submission'!$B$2:$B$13</c:f>
              <c:numCache>
                <c:formatCode>General</c:formatCode>
                <c:ptCount val="12"/>
                <c:pt idx="0">
                  <c:v>5</c:v>
                </c:pt>
                <c:pt idx="1">
                  <c:v>7</c:v>
                </c:pt>
                <c:pt idx="2">
                  <c:v>36</c:v>
                </c:pt>
                <c:pt idx="3">
                  <c:v>3</c:v>
                </c:pt>
                <c:pt idx="4">
                  <c:v>0</c:v>
                </c:pt>
                <c:pt idx="5">
                  <c:v>22</c:v>
                </c:pt>
                <c:pt idx="6">
                  <c:v>0</c:v>
                </c:pt>
                <c:pt idx="7">
                  <c:v>0</c:v>
                </c:pt>
                <c:pt idx="8">
                  <c:v>10</c:v>
                </c:pt>
                <c:pt idx="9">
                  <c:v>1</c:v>
                </c:pt>
                <c:pt idx="10">
                  <c:v>8</c:v>
                </c:pt>
                <c:pt idx="11">
                  <c:v>0</c:v>
                </c:pt>
              </c:numCache>
            </c:numRef>
          </c:val>
          <c:smooth val="0"/>
          <c:extLst>
            <c:ext xmlns:c16="http://schemas.microsoft.com/office/drawing/2014/chart" uri="{C3380CC4-5D6E-409C-BE32-E72D297353CC}">
              <c16:uniqueId val="{00000000-3C0A-4BE8-8B05-7E6E0CA88DEC}"/>
            </c:ext>
          </c:extLst>
        </c:ser>
        <c:dLbls>
          <c:dLblPos val="ctr"/>
          <c:showLegendKey val="0"/>
          <c:showVal val="1"/>
          <c:showCatName val="0"/>
          <c:showSerName val="0"/>
          <c:showPercent val="0"/>
          <c:showBubbleSize val="0"/>
        </c:dLbls>
        <c:marker val="1"/>
        <c:smooth val="0"/>
        <c:axId val="520614112"/>
        <c:axId val="520634272"/>
      </c:lineChart>
      <c:catAx>
        <c:axId val="520614112"/>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r>
                  <a:rPr lang="en-US" sz="1100"/>
                  <a:t>Month</a:t>
                </a:r>
              </a:p>
            </c:rich>
          </c:tx>
          <c:layout>
            <c:manualLayout>
              <c:xMode val="edge"/>
              <c:yMode val="edge"/>
              <c:x val="0.41847848038473029"/>
              <c:y val="0.8524428779676335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20634272"/>
        <c:crosses val="autoZero"/>
        <c:auto val="1"/>
        <c:lblAlgn val="ctr"/>
        <c:lblOffset val="100"/>
        <c:noMultiLvlLbl val="0"/>
      </c:catAx>
      <c:valAx>
        <c:axId val="5206342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No. of Submission</a:t>
                </a:r>
              </a:p>
            </c:rich>
          </c:tx>
          <c:layout>
            <c:manualLayout>
              <c:xMode val="edge"/>
              <c:yMode val="edge"/>
              <c:x val="5.5555563656395981E-3"/>
              <c:y val="0.2771440259642982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52061411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baseline="0">
                <a:solidFill>
                  <a:schemeClr val="dk1">
                    <a:lumMod val="75000"/>
                    <a:lumOff val="25000"/>
                  </a:schemeClr>
                </a:solidFill>
                <a:latin typeface="+mn-lt"/>
                <a:ea typeface="+mn-ea"/>
                <a:cs typeface="+mn-cs"/>
              </a:defRPr>
            </a:pPr>
            <a:r>
              <a:rPr lang="en-US" sz="1300"/>
              <a:t>Overall Submission per Center</a:t>
            </a:r>
          </a:p>
        </c:rich>
      </c:tx>
      <c:overlay val="0"/>
      <c:spPr>
        <a:noFill/>
        <a:ln>
          <a:noFill/>
        </a:ln>
        <a:effectLst/>
      </c:spPr>
      <c:txPr>
        <a:bodyPr rot="0" spcFirstLastPara="1" vertOverflow="ellipsis" vert="horz" wrap="square" anchor="ctr" anchorCtr="1"/>
        <a:lstStyle/>
        <a:p>
          <a:pPr>
            <a:defRPr sz="13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'Branch Submission'!$A$2:$A$6</c:f>
              <c:strCache>
                <c:ptCount val="5"/>
                <c:pt idx="0">
                  <c:v>University Of Ilesa, Osun State</c:v>
                </c:pt>
                <c:pt idx="1">
                  <c:v>Ipetu-Ijesha, Osun State</c:v>
                </c:pt>
                <c:pt idx="2">
                  <c:v>Health Tech Bolorunduro, Ilesa, Osun State</c:v>
                </c:pt>
                <c:pt idx="3">
                  <c:v>Esa-Oke, Osun State</c:v>
                </c:pt>
                <c:pt idx="4">
                  <c:v>Headquarters, Egbe-Idi, Ilesa, Osun State</c:v>
                </c:pt>
              </c:strCache>
            </c:strRef>
          </c:cat>
          <c:val>
            <c:numRef>
              <c:f>'Branch Submission'!$N$2:$N$6</c:f>
              <c:numCache>
                <c:formatCode>General</c:formatCode>
                <c:ptCount val="5"/>
                <c:pt idx="0">
                  <c:v>48</c:v>
                </c:pt>
                <c:pt idx="1">
                  <c:v>3</c:v>
                </c:pt>
                <c:pt idx="2">
                  <c:v>19</c:v>
                </c:pt>
                <c:pt idx="3">
                  <c:v>3</c:v>
                </c:pt>
                <c:pt idx="4">
                  <c:v>19</c:v>
                </c:pt>
              </c:numCache>
            </c:numRef>
          </c:val>
          <c:extLst>
            <c:ext xmlns:c16="http://schemas.microsoft.com/office/drawing/2014/chart" uri="{C3380CC4-5D6E-409C-BE32-E72D297353CC}">
              <c16:uniqueId val="{00000000-B345-4F28-A178-D3A50E033588}"/>
            </c:ext>
          </c:extLst>
        </c:ser>
        <c:dLbls>
          <c:dLblPos val="inEnd"/>
          <c:showLegendKey val="0"/>
          <c:showVal val="1"/>
          <c:showCatName val="0"/>
          <c:showSerName val="0"/>
          <c:showPercent val="0"/>
          <c:showBubbleSize val="0"/>
        </c:dLbls>
        <c:gapWidth val="65"/>
        <c:axId val="885020192"/>
        <c:axId val="885029792"/>
      </c:barChart>
      <c:catAx>
        <c:axId val="88502019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Word Point Centers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85029792"/>
        <c:crosses val="autoZero"/>
        <c:auto val="1"/>
        <c:lblAlgn val="ctr"/>
        <c:lblOffset val="100"/>
        <c:noMultiLvlLbl val="0"/>
      </c:catAx>
      <c:valAx>
        <c:axId val="8850297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No. of</a:t>
                </a:r>
                <a:r>
                  <a:rPr lang="en-US" baseline="0"/>
                  <a:t> Report Submission</a:t>
                </a:r>
                <a:endParaRPr lang="en-US"/>
              </a:p>
            </c:rich>
          </c:tx>
          <c:layout>
            <c:manualLayout>
              <c:xMode val="edge"/>
              <c:yMode val="edge"/>
              <c:x val="0.59833954635342645"/>
              <c:y val="0.9150636075653854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8502019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baseline="0">
                <a:solidFill>
                  <a:schemeClr val="dk1">
                    <a:lumMod val="75000"/>
                    <a:lumOff val="25000"/>
                  </a:schemeClr>
                </a:solidFill>
                <a:latin typeface="+mn-lt"/>
                <a:ea typeface="+mn-ea"/>
                <a:cs typeface="+mn-cs"/>
              </a:defRPr>
            </a:pPr>
            <a:r>
              <a:rPr lang="en-US"/>
              <a:t>Submission Rate Over the Year</a:t>
            </a:r>
          </a:p>
        </c:rich>
      </c:tx>
      <c:layout>
        <c:manualLayout>
          <c:xMode val="edge"/>
          <c:yMode val="edge"/>
          <c:x val="0.32894254745996143"/>
          <c:y val="4.4827586206896551E-2"/>
        </c:manualLayout>
      </c:layout>
      <c:overlay val="0"/>
      <c:spPr>
        <a:noFill/>
        <a:ln>
          <a:noFill/>
        </a:ln>
        <a:effectLst/>
      </c:spPr>
      <c:txPr>
        <a:bodyPr rot="0" spcFirstLastPara="1" vertOverflow="ellipsis" vert="horz" wrap="square" anchor="ctr" anchorCtr="1"/>
        <a:lstStyle/>
        <a:p>
          <a:pPr>
            <a:defRPr sz="13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'Branch Submission'!$N$1</c:f>
              <c:strCache>
                <c:ptCount val="1"/>
                <c:pt idx="0">
                  <c:v>Total per Branch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700-4547-8C4F-9D91CF33962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700-4547-8C4F-9D91CF33962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700-4547-8C4F-9D91CF33962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700-4547-8C4F-9D91CF33962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700-4547-8C4F-9D91CF33962E}"/>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'Branch Submission'!$A$2:$A$6</c:f>
              <c:strCache>
                <c:ptCount val="5"/>
                <c:pt idx="0">
                  <c:v>University Of Ilesa, Osun State</c:v>
                </c:pt>
                <c:pt idx="1">
                  <c:v>Ipetu-Ijesha, Osun State</c:v>
                </c:pt>
                <c:pt idx="2">
                  <c:v>Health Tech Bolorunduro, Ilesa, Osun State</c:v>
                </c:pt>
                <c:pt idx="3">
                  <c:v>Esa-Oke, Osun State</c:v>
                </c:pt>
                <c:pt idx="4">
                  <c:v>Headquarters, Egbe-Idi, Ilesa, Osun State</c:v>
                </c:pt>
              </c:strCache>
            </c:strRef>
          </c:cat>
          <c:val>
            <c:numRef>
              <c:f>'Branch Submission'!$N$2:$N$6</c:f>
              <c:numCache>
                <c:formatCode>General</c:formatCode>
                <c:ptCount val="5"/>
                <c:pt idx="0">
                  <c:v>48</c:v>
                </c:pt>
                <c:pt idx="1">
                  <c:v>3</c:v>
                </c:pt>
                <c:pt idx="2">
                  <c:v>19</c:v>
                </c:pt>
                <c:pt idx="3">
                  <c:v>3</c:v>
                </c:pt>
                <c:pt idx="4">
                  <c:v>19</c:v>
                </c:pt>
              </c:numCache>
            </c:numRef>
          </c:val>
          <c:extLst>
            <c:ext xmlns:c16="http://schemas.microsoft.com/office/drawing/2014/chart" uri="{C3380CC4-5D6E-409C-BE32-E72D297353CC}">
              <c16:uniqueId val="{0000000A-A700-4547-8C4F-9D91CF33962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4166666666666672"/>
          <c:y val="0.23956948089822105"/>
          <c:w val="0.34166666666666667"/>
          <c:h val="0.5900736366287547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No. of Submission per Worker</cx:v>
        </cx:txData>
      </cx:tx>
      <cx:txPr>
        <a:bodyPr rot="0" spcFirstLastPara="1" vertOverflow="ellipsis" vert="horz" wrap="square" lIns="38100" tIns="19050" rIns="38100" bIns="19050" anchor="ctr" anchorCtr="1" compatLnSpc="0"/>
        <a:lstStyle/>
        <a:p>
          <a:pPr algn="ctr" rtl="0">
            <a:defRPr sz="1300" b="1" i="0" u="none" strike="noStrike" kern="1200" baseline="0">
              <a:solidFill>
                <a:srgbClr val="000000">
                  <a:lumMod val="75000"/>
                  <a:lumOff val="25000"/>
                </a:srgbClr>
              </a:solidFill>
              <a:latin typeface="+mn-lt"/>
              <a:ea typeface="+mn-ea"/>
              <a:cs typeface="+mn-cs"/>
            </a:defRPr>
          </a:pPr>
          <a:r>
            <a:rPr kumimoji="0" lang="en-US" sz="1300" b="1" i="0" u="none" strike="noStrike" kern="1200" cap="none" spc="0" normalizeH="0" baseline="0" noProof="0">
              <a:ln>
                <a:noFill/>
              </a:ln>
              <a:solidFill>
                <a:srgbClr val="000000">
                  <a:lumMod val="75000"/>
                  <a:lumOff val="25000"/>
                </a:srgbClr>
              </a:solidFill>
              <a:effectLst/>
              <a:uLnTx/>
              <a:uFillTx/>
              <a:latin typeface="Arial"/>
              <a:cs typeface="Arial"/>
            </a:rPr>
            <a:t>No. of Submission per Worker</a:t>
          </a:r>
        </a:p>
      </cx:txPr>
    </cx:title>
    <cx:plotArea>
      <cx:plotAreaRegion>
        <cx:series layoutId="funnel" uniqueId="{5BD478C5-CC66-4571-A993-16DD4BC574A3}">
          <cx:dataLabels>
            <cx:visibility seriesName="0" categoryName="0" value="1"/>
          </cx:dataLabels>
          <cx:dataId val="0"/>
          <cx:layoutPr/>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rich>
          <a:bodyPr rot="0" spcFirstLastPara="1" vertOverflow="ellipsis" vert="horz" wrap="square" lIns="38100" tIns="19050" rIns="38100" bIns="19050" anchor="ctr" anchorCtr="1" compatLnSpc="0"/>
          <a:lstStyle/>
          <a:p>
            <a:pPr algn="ctr" rtl="0">
              <a:defRPr sz="1300" b="1" i="0" u="none" strike="noStrike" kern="1200" baseline="0">
                <a:solidFill>
                  <a:srgbClr val="000000">
                    <a:lumMod val="75000"/>
                    <a:lumOff val="25000"/>
                  </a:srgbClr>
                </a:solidFill>
                <a:latin typeface="+mn-lt"/>
                <a:ea typeface="+mn-ea"/>
                <a:cs typeface="+mn-cs"/>
              </a:defRPr>
            </a:pPr>
            <a:r>
              <a:rPr kumimoji="0" lang="en-US" sz="1300" b="1" i="0" u="none" strike="noStrike" kern="1200" cap="none" spc="0" normalizeH="0" baseline="0" noProof="0">
                <a:ln>
                  <a:noFill/>
                </a:ln>
                <a:solidFill>
                  <a:srgbClr val="000000">
                    <a:lumMod val="75000"/>
                    <a:lumOff val="25000"/>
                  </a:srgbClr>
                </a:solidFill>
                <a:effectLst/>
                <a:uLnTx/>
                <a:uFillTx/>
                <a:latin typeface="Arial"/>
                <a:cs typeface="Arial"/>
              </a:rPr>
              <a:t>No. of Submission per Worker</a:t>
            </a:r>
          </a:p>
          <a:p>
            <a:pPr algn="ctr" rtl="0">
              <a:defRPr sz="1300" b="1" i="0" u="none" strike="noStrike" kern="1200" baseline="0">
                <a:solidFill>
                  <a:srgbClr val="000000">
                    <a:lumMod val="75000"/>
                    <a:lumOff val="25000"/>
                  </a:srgbClr>
                </a:solidFill>
                <a:latin typeface="+mn-lt"/>
                <a:ea typeface="+mn-ea"/>
                <a:cs typeface="+mn-cs"/>
              </a:defRPr>
            </a:pPr>
            <a:endParaRPr kumimoji="0" lang="en-US" sz="1300" b="1" i="0" u="none" strike="noStrike" kern="1200" cap="none" spc="0" normalizeH="0" baseline="0" noProof="0">
              <a:ln>
                <a:noFill/>
              </a:ln>
              <a:solidFill>
                <a:srgbClr val="000000">
                  <a:lumMod val="75000"/>
                  <a:lumOff val="25000"/>
                </a:srgbClr>
              </a:solidFill>
              <a:effectLst/>
              <a:uLnTx/>
              <a:uFillTx/>
              <a:latin typeface="Arial"/>
              <a:cs typeface="Arial"/>
            </a:endParaRPr>
          </a:p>
        </cx:rich>
      </cx:tx>
    </cx:title>
    <cx:plotArea>
      <cx:plotAreaRegion>
        <cx:series layoutId="funnel" uniqueId="{5BD478C5-CC66-4571-A993-16DD4BC574A3}">
          <cx:dataLabels>
            <cx:visibility seriesName="0" categoryName="0" value="1"/>
          </cx:dataLabels>
          <cx:dataId val="0"/>
          <cx:layoutPr/>
        </cx:series>
      </cx:plotAreaRegion>
      <cx:axis id="0">
        <cx:catScaling gapWidth="0.150000006"/>
        <cx:title>
          <cx:tx>
            <cx:txData>
              <cx:v>Worker's Name</cx:v>
            </cx:txData>
          </cx:tx>
          <cx:txPr>
            <a:bodyPr spcFirstLastPara="1" vertOverflow="ellipsis" horzOverflow="overflow" wrap="square" lIns="0" tIns="0" rIns="0" bIns="0" anchor="ctr" anchorCtr="1"/>
            <a:lstStyle/>
            <a:p>
              <a:pPr algn="ctr" rtl="0">
                <a:defRPr/>
              </a:pPr>
              <a:r>
                <a:rPr lang="en-US" sz="900" b="0" i="0" u="none" strike="noStrike" baseline="0">
                  <a:solidFill>
                    <a:srgbClr val="000000">
                      <a:lumMod val="75000"/>
                      <a:lumOff val="25000"/>
                    </a:srgbClr>
                  </a:solidFill>
                  <a:latin typeface="Arial"/>
                  <a:cs typeface="Arial"/>
                </a:rPr>
                <a:t>Worker's Name</a:t>
              </a:r>
            </a:p>
          </cx:txPr>
        </cx:title>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microsoft.com/office/2014/relationships/chartEx" Target="../charts/chartEx2.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129730</xdr:colOff>
      <xdr:row>1</xdr:row>
      <xdr:rowOff>62901</xdr:rowOff>
    </xdr:from>
    <xdr:to>
      <xdr:col>3</xdr:col>
      <xdr:colOff>35944</xdr:colOff>
      <xdr:row>23</xdr:row>
      <xdr:rowOff>8986</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9F9C4601-F021-17F2-6B13-4027B1CC25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2065" y="224646"/>
              <a:ext cx="4264351" cy="35404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9525</xdr:colOff>
      <xdr:row>7</xdr:row>
      <xdr:rowOff>19050</xdr:rowOff>
    </xdr:from>
    <xdr:to>
      <xdr:col>15</xdr:col>
      <xdr:colOff>104775</xdr:colOff>
      <xdr:row>24</xdr:row>
      <xdr:rowOff>33337</xdr:rowOff>
    </xdr:to>
    <xdr:graphicFrame macro="">
      <xdr:nvGraphicFramePr>
        <xdr:cNvPr id="2" name="Chart 1">
          <a:extLst>
            <a:ext uri="{FF2B5EF4-FFF2-40B4-BE49-F238E27FC236}">
              <a16:creationId xmlns:a16="http://schemas.microsoft.com/office/drawing/2014/main" id="{6085C0F6-A0E3-CCD3-6BB6-72A88897A0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419100</xdr:colOff>
      <xdr:row>6</xdr:row>
      <xdr:rowOff>138112</xdr:rowOff>
    </xdr:from>
    <xdr:to>
      <xdr:col>6</xdr:col>
      <xdr:colOff>247650</xdr:colOff>
      <xdr:row>23</xdr:row>
      <xdr:rowOff>128587</xdr:rowOff>
    </xdr:to>
    <xdr:graphicFrame macro="">
      <xdr:nvGraphicFramePr>
        <xdr:cNvPr id="8" name="Chart 7">
          <a:extLst>
            <a:ext uri="{FF2B5EF4-FFF2-40B4-BE49-F238E27FC236}">
              <a16:creationId xmlns:a16="http://schemas.microsoft.com/office/drawing/2014/main" id="{C5277449-E6B7-6ABF-C925-BF97AF91C3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104775</xdr:colOff>
      <xdr:row>1</xdr:row>
      <xdr:rowOff>19050</xdr:rowOff>
    </xdr:from>
    <xdr:to>
      <xdr:col>12</xdr:col>
      <xdr:colOff>19050</xdr:colOff>
      <xdr:row>20</xdr:row>
      <xdr:rowOff>142875</xdr:rowOff>
    </xdr:to>
    <xdr:graphicFrame macro="">
      <xdr:nvGraphicFramePr>
        <xdr:cNvPr id="2" name="Chart 1">
          <a:extLst>
            <a:ext uri="{FF2B5EF4-FFF2-40B4-BE49-F238E27FC236}">
              <a16:creationId xmlns:a16="http://schemas.microsoft.com/office/drawing/2014/main" id="{14B76DA2-C2D4-BE77-6679-ED973D540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20</xdr:row>
      <xdr:rowOff>101803</xdr:rowOff>
    </xdr:from>
    <xdr:to>
      <xdr:col>11</xdr:col>
      <xdr:colOff>105832</xdr:colOff>
      <xdr:row>43</xdr:row>
      <xdr:rowOff>95250</xdr:rowOff>
    </xdr:to>
    <xdr:graphicFrame macro="">
      <xdr:nvGraphicFramePr>
        <xdr:cNvPr id="2" name="Chart 1">
          <a:extLst>
            <a:ext uri="{FF2B5EF4-FFF2-40B4-BE49-F238E27FC236}">
              <a16:creationId xmlns:a16="http://schemas.microsoft.com/office/drawing/2014/main" id="{CCB1474F-65DB-45B3-9A4D-58F0F68EB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9</xdr:col>
      <xdr:colOff>603250</xdr:colOff>
      <xdr:row>21</xdr:row>
      <xdr:rowOff>21166</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FE11DCEC-9F3D-4479-96AA-A726725A42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6089650" cy="342159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588392</xdr:colOff>
      <xdr:row>0</xdr:row>
      <xdr:rowOff>0</xdr:rowOff>
    </xdr:from>
    <xdr:to>
      <xdr:col>21</xdr:col>
      <xdr:colOff>592667</xdr:colOff>
      <xdr:row>21</xdr:row>
      <xdr:rowOff>7362</xdr:rowOff>
    </xdr:to>
    <xdr:graphicFrame macro="">
      <xdr:nvGraphicFramePr>
        <xdr:cNvPr id="4" name="Chart 3">
          <a:extLst>
            <a:ext uri="{FF2B5EF4-FFF2-40B4-BE49-F238E27FC236}">
              <a16:creationId xmlns:a16="http://schemas.microsoft.com/office/drawing/2014/main" id="{BB1527CC-EABD-41C4-BB4E-254B885F1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77612</xdr:colOff>
      <xdr:row>20</xdr:row>
      <xdr:rowOff>148166</xdr:rowOff>
    </xdr:from>
    <xdr:to>
      <xdr:col>21</xdr:col>
      <xdr:colOff>603251</xdr:colOff>
      <xdr:row>43</xdr:row>
      <xdr:rowOff>42333</xdr:rowOff>
    </xdr:to>
    <xdr:graphicFrame macro="">
      <xdr:nvGraphicFramePr>
        <xdr:cNvPr id="5" name="Chart 4">
          <a:extLst>
            <a:ext uri="{FF2B5EF4-FFF2-40B4-BE49-F238E27FC236}">
              <a16:creationId xmlns:a16="http://schemas.microsoft.com/office/drawing/2014/main" id="{FB188F1D-16A3-4B3B-8A12-A57B8118E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539090-6B1C-447E-A5E8-763E0A4461FA}" name="MainDB" displayName="MainDB" ref="A1:Y93" totalsRowShown="0" headerRowDxfId="39">
  <autoFilter ref="A1:Y93" xr:uid="{AB539090-6B1C-447E-A5E8-763E0A4461FA}"/>
  <tableColumns count="25">
    <tableColumn id="1" xr3:uid="{7D4311EB-5113-4A4B-91C7-4ABBF186ED44}" name="Submission Datetime" dataDxfId="2"/>
    <tableColumn id="2" xr3:uid="{88F5B01A-7788-4600-A024-F573DFF6DBC3}" name="Email Address" dataDxfId="0"/>
    <tableColumn id="3" xr3:uid="{DB1E92E1-C873-496B-BD57-574D70CCA998}" name="Month" dataDxfId="1"/>
    <tableColumn id="4" xr3:uid="{5932702D-F904-4D2B-B76F-012D21606E8E}" name="Week" dataDxfId="38"/>
    <tableColumn id="5" xr3:uid="{38C1356A-4E54-4B6D-AA7C-AB2007FB6249}" name="Worker's Full Name" dataDxfId="37"/>
    <tableColumn id="6" xr3:uid="{37DAB6C7-60A0-43B2-87E9-41DCD972A9EC}" name="Branch" dataDxfId="36"/>
    <tableColumn id="7" xr3:uid="{7B2FDDDC-4E9C-44EE-A46F-DC4F1A2AF099}" name="How many days did you join church WhatsApp Prayer?" dataDxfId="35"/>
    <tableColumn id="8" xr3:uid="{2D7A87BF-7540-4788-A7BE-088CFA1AE106}" name="How has participating in WhatsApp prayer impacted your spiritual life?" dataDxfId="34"/>
    <tableColumn id="9" xr3:uid="{21267943-3EDB-4063-83B0-6B02F7C68108}" name="Did you attend Bible Study?" dataDxfId="33"/>
    <tableColumn id="10" xr3:uid="{609F8483-6A64-4AEA-8718-75BD43BBCEF7}" name="If YES above, What specific insight did you gain from the Bible study this week?" dataDxfId="32"/>
    <tableColumn id="11" xr3:uid="{86FE3CD6-5513-41AA-910F-FB9CA0BEDD49}" name="Did you attend Gethsemane/Vigil/House Fellowship?" dataDxfId="31"/>
    <tableColumn id="12" xr3:uid="{0E38012B-49DB-46E0-AF51-DD99E69930A8}" name="If YES above,  What was the most impactful moment or teaching from this gathering?" dataDxfId="30"/>
    <tableColumn id="13" xr3:uid="{B3045ABD-57BB-48DA-BDB2-D3E06A321238}" name="Kindly Upload the Written Notes of Your Weekly Bible Study" dataDxfId="29"/>
    <tableColumn id="14" xr3:uid="{FAD00446-B04B-4995-AE84-06950870F056}" name="Have you given towards Church Project  Contribution?" dataDxfId="28"/>
    <tableColumn id="15" xr3:uid="{6B8B3320-A1D8-4D65-B3EC-1675FA30227F}" name="If NO, what challenges are preventing you from making your financial contributions?"/>
    <tableColumn id="16" xr3:uid="{4F4C097E-9B54-46C4-A3F5-F16180DD751A}" name="Did you listen to (or watch) THE WORD OF HIS GRACE on Diamond 88.5FM?" dataDxfId="27"/>
    <tableColumn id="17" xr3:uid="{7DC3EA58-AE52-4065-B1A1-79E15D3A14D2}" name="If YES, how has listening to 'The Word of His Grace' inspired you to live a more Christ-like life?"/>
    <tableColumn id="18" xr3:uid="{10178608-DCC5-49C8-B6D8-963D0F19CA4A}" name="Did you go for Evangelism?" dataDxfId="26"/>
    <tableColumn id="19" xr3:uid="{C727DE56-7BFA-4043-BA2B-0B3DBA3C36CA}" name="If YES, What is  the total number of People Saved?" dataDxfId="25"/>
    <tableColumn id="20" xr3:uid="{991E4734-92B2-4229-A11C-657B78199D4B}" name="Kindly upload a Well Written Evangelism Record_x000a_(Follow the template given above)" dataDxfId="24"/>
    <tableColumn id="21" xr3:uid="{5C2E7D82-AE5B-42C0-B7E8-B66E041F9042}" name="Additional Comment(s)"/>
    <tableColumn id="22" xr3:uid="{659876D9-AA43-4699-A6A9-A9676A471D61}" name="Did you visit your Disciple(s)?" dataDxfId="23"/>
    <tableColumn id="23" xr3:uid="{B7ACD1FD-6770-4F38-8E9F-5AFF588F71DE}" name="If NO, why?"/>
    <tableColumn id="24" xr3:uid="{B83F4406-8E6F-4C13-8E84-5A4251376709}" name="Kindly upload a Well Written Evangelism Record_x000a_(Follow the template given above)2" dataDxfId="22"/>
    <tableColumn id="25" xr3:uid="{5133688D-D8EE-4ED3-B28F-23B4AFB330CA}" name="Additional Comment(s)3"/>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9B8BCC-D669-4F9D-B892-AEFF17AFE6BF}" name="IndividualDB" displayName="IndividualDB" ref="A1:Q17" headerRowDxfId="21">
  <autoFilter ref="A1:Q17" xr:uid="{E99B8BCC-D669-4F9D-B892-AEFF17AFE6BF}"/>
  <tableColumns count="17">
    <tableColumn id="1" xr3:uid="{64932EBF-69CF-40DE-A12D-0953FD08AA7C}" name="S/N" totalsRowLabel="Total"/>
    <tableColumn id="2" xr3:uid="{46AD6D35-3675-4EF4-9CF8-64E68860611F}" name="Email Address" dataDxfId="20" totalsRowDxfId="19"/>
    <tableColumn id="3" xr3:uid="{53BA0829-1E20-44D8-96D6-8AB056439FAE}" name="Name">
      <calculatedColumnFormula>_xlfn.XLOOKUP($B2, MainDB[Email Address], MainDB[Worker''s Full Name],,0)</calculatedColumnFormula>
    </tableColumn>
    <tableColumn id="4" xr3:uid="{570CDCA8-D519-4152-81F6-57782EFD3E1F}" name="Branch">
      <calculatedColumnFormula>_xlfn.XLOOKUP($B2, MainDB[Email Address], MainDB[Branch],,0)</calculatedColumnFormula>
    </tableColumn>
    <tableColumn id="5" xr3:uid="{F2565AC2-7696-42E5-9905-423EFB38B030}" name="Jan">
      <calculatedColumnFormula>COUNTIFS(MainDB[Email Address],'Individual Submission'!$B2,MainDB[Month], "January")</calculatedColumnFormula>
    </tableColumn>
    <tableColumn id="6" xr3:uid="{13E4C1E0-395D-4330-AC51-1C8451327D98}" name="Feb">
      <calculatedColumnFormula>COUNTIFS(MainDB[Email Address],'Individual Submission'!$B2,MainDB[Month], "February")</calculatedColumnFormula>
    </tableColumn>
    <tableColumn id="7" xr3:uid="{E3431922-C3B9-47D2-8E93-7D659C539C62}" name="Mar">
      <calculatedColumnFormula>COUNTIFS(MainDB[Email Address],'Individual Submission'!$B2,MainDB[Month], "March")</calculatedColumnFormula>
    </tableColumn>
    <tableColumn id="8" xr3:uid="{CCA59140-5F94-43F2-859A-274AD9B8562D}" name="Apr">
      <calculatedColumnFormula>COUNTIFS(MainDB[Email Address],'Individual Submission'!$B2,MainDB[Month], "April")</calculatedColumnFormula>
    </tableColumn>
    <tableColumn id="9" xr3:uid="{B57C2984-C5D4-45E3-A393-9F0A91117CE5}" name="May">
      <calculatedColumnFormula>COUNTIFS(MainDB[Email Address],'Individual Submission'!$B2,MainDB[Month], "May")</calculatedColumnFormula>
    </tableColumn>
    <tableColumn id="10" xr3:uid="{62F2CC98-3100-45B1-82F3-571E8AFAC59E}" name="Jun">
      <calculatedColumnFormula>COUNTIFS(MainDB[Email Address],'Individual Submission'!$B2,MainDB[Month], "June")</calculatedColumnFormula>
    </tableColumn>
    <tableColumn id="11" xr3:uid="{9F77915E-D470-4B1E-9268-61E88DD73FE1}" name="Jul">
      <calculatedColumnFormula>COUNTIFS(MainDB[Email Address],'Individual Submission'!$B2,MainDB[Month], "July")</calculatedColumnFormula>
    </tableColumn>
    <tableColumn id="12" xr3:uid="{B37F0017-D9C2-425E-BA50-3654757626F3}" name="Aug">
      <calculatedColumnFormula>COUNTIFS(MainDB[Email Address],'Individual Submission'!$B2,MainDB[Month], "August")</calculatedColumnFormula>
    </tableColumn>
    <tableColumn id="13" xr3:uid="{0F1D6A0E-7361-4DDA-A36A-FC1CEB381C69}" name="Sep">
      <calculatedColumnFormula>COUNTIFS(MainDB[Email Address],'Individual Submission'!$B2,MainDB[Month], "September")</calculatedColumnFormula>
    </tableColumn>
    <tableColumn id="14" xr3:uid="{213BFBC6-9E7D-4064-ABDE-7FA389931466}" name="Oct">
      <calculatedColumnFormula>COUNTIFS(MainDB[Email Address],'Individual Submission'!$B2,MainDB[Month], "October")</calculatedColumnFormula>
    </tableColumn>
    <tableColumn id="15" xr3:uid="{3B4F1A52-C377-4F71-8D9D-499C699513F8}" name="Nov">
      <calculatedColumnFormula>COUNTIFS(MainDB[Email Address],'Individual Submission'!$B2,MainDB[Month], "November")</calculatedColumnFormula>
    </tableColumn>
    <tableColumn id="16" xr3:uid="{11A4DC24-CD93-44E3-BA66-D62FBDE848BC}" name="Dec">
      <calculatedColumnFormula>COUNTIFS(MainDB[Email Address],'Individual Submission'!$B2,MainDB[Month], "December")</calculatedColumnFormula>
    </tableColumn>
    <tableColumn id="17" xr3:uid="{245CB696-434C-419D-8426-6FB2471992C1}" name="Total per Worker" totalsRowFunction="sum">
      <calculatedColumnFormula>SUM(E2:P2)</calculatedColumnFormula>
    </tableColumn>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386A98-1483-43FF-BFE2-124930A59F05}" name="BranchDB" displayName="BranchDB" ref="A1:N6" headerRowDxfId="18">
  <autoFilter ref="A1:N6" xr:uid="{65386A98-1483-43FF-BFE2-124930A59F05}"/>
  <tableColumns count="14">
    <tableColumn id="1" xr3:uid="{55578540-C816-40BF-8EB9-6A4ACE6222DA}" name="Branch" totalsRowLabel="Total" totalsRowDxfId="17"/>
    <tableColumn id="3" xr3:uid="{53C5C3E4-3495-45EB-BF62-7E309A45E956}" name="Jan" totalsRowFunction="sum" totalsRowDxfId="16">
      <calculatedColumnFormula>COUNTIFS(MainDB[Branch],'Branch Submission'!$A2,MainDB[Month], "January")</calculatedColumnFormula>
    </tableColumn>
    <tableColumn id="4" xr3:uid="{B62070EC-A838-4A76-90BB-EEDBA351152C}" name="Feb" totalsRowFunction="sum" totalsRowDxfId="15">
      <calculatedColumnFormula>COUNTIFS(MainDB[Branch],'Branch Submission'!$A2,MainDB[Month], "February")</calculatedColumnFormula>
    </tableColumn>
    <tableColumn id="5" xr3:uid="{54999BA2-35DF-4CA0-866A-461ECF88FB38}" name="Mar" totalsRowFunction="sum" totalsRowDxfId="14">
      <calculatedColumnFormula>COUNTIFS(MainDB[Branch],'Branch Submission'!$A2,MainDB[Month], "March")</calculatedColumnFormula>
    </tableColumn>
    <tableColumn id="6" xr3:uid="{23FF9A4C-5590-4000-AB7A-946BB739B411}" name="Apr" totalsRowFunction="sum" totalsRowDxfId="13">
      <calculatedColumnFormula>COUNTIFS(MainDB[Branch],'Branch Submission'!$A2,MainDB[Month], "April")</calculatedColumnFormula>
    </tableColumn>
    <tableColumn id="7" xr3:uid="{73E3D46D-6BCF-43F4-B8D9-3F603CDBE5C5}" name="May" totalsRowFunction="sum" totalsRowDxfId="12">
      <calculatedColumnFormula>COUNTIFS(MainDB[Branch],'Branch Submission'!$A2,MainDB[Month], "May")</calculatedColumnFormula>
    </tableColumn>
    <tableColumn id="8" xr3:uid="{D70306D7-8384-44A1-A8CB-078D1CE23427}" name="Jun" totalsRowFunction="sum" totalsRowDxfId="11">
      <calculatedColumnFormula>COUNTIFS(MainDB[Branch],'Branch Submission'!$A2,MainDB[Month], "June")</calculatedColumnFormula>
    </tableColumn>
    <tableColumn id="9" xr3:uid="{98B7780E-9ADE-4783-B4A4-F47C53ADB4FA}" name="Jul" totalsRowFunction="sum" totalsRowDxfId="10">
      <calculatedColumnFormula>COUNTIFS(MainDB[Branch],'Branch Submission'!$A2,MainDB[Month], "July")</calculatedColumnFormula>
    </tableColumn>
    <tableColumn id="10" xr3:uid="{D64EDE77-1F35-4CA2-8B25-F755251BCCCD}" name="Aug" totalsRowFunction="sum" totalsRowDxfId="9">
      <calculatedColumnFormula>COUNTIFS(MainDB[Branch],'Branch Submission'!$A2,MainDB[Month], "August")</calculatedColumnFormula>
    </tableColumn>
    <tableColumn id="11" xr3:uid="{1713630C-3340-46D2-B3DA-E027F5554720}" name="Sep" totalsRowFunction="sum" totalsRowDxfId="8">
      <calculatedColumnFormula>COUNTIFS(MainDB[Branch],'Branch Submission'!$A2,MainDB[Month], "September")</calculatedColumnFormula>
    </tableColumn>
    <tableColumn id="12" xr3:uid="{0EB7BA11-4949-4474-B5C6-5AF4C9A0E1C8}" name="Oct" totalsRowFunction="sum" totalsRowDxfId="7">
      <calculatedColumnFormula>COUNTIFS(MainDB[Branch],'Branch Submission'!$A2,MainDB[Month], "October")</calculatedColumnFormula>
    </tableColumn>
    <tableColumn id="13" xr3:uid="{A348361B-834B-4456-8F5C-F5C8687F7A17}" name="Nov" totalsRowFunction="sum" totalsRowDxfId="6">
      <calculatedColumnFormula>COUNTIFS(MainDB[Branch],'Branch Submission'!$A2,MainDB[Month], "November")</calculatedColumnFormula>
    </tableColumn>
    <tableColumn id="14" xr3:uid="{8A81F52C-460F-42B5-AD6E-A71F782E5139}" name="Dec" totalsRowFunction="sum" totalsRowDxfId="5">
      <calculatedColumnFormula>COUNTIFS(MainDB[Branch],'Branch Submission'!$A2,MainDB[Month], "December")</calculatedColumnFormula>
    </tableColumn>
    <tableColumn id="15" xr3:uid="{3F3EC7AD-CC8A-464D-B995-484C7058226A}" name="Total per Branch" totalsRowFunction="sum" totalsRowDxfId="4">
      <calculatedColumnFormula>SUM(B2:M2)</calculatedColumnFormula>
    </tableColumn>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FC95023-6015-49BD-865E-47AB77C4895F}" name="Table4" displayName="Table4" ref="A1:B13" totalsRowShown="0" headerRowDxfId="3">
  <autoFilter ref="A1:B13" xr:uid="{BFC95023-6015-49BD-865E-47AB77C4895F}"/>
  <tableColumns count="2">
    <tableColumn id="1" xr3:uid="{5D9EF0E0-A4CF-4F4E-B2CD-3FF3893D871F}" name="Month"/>
    <tableColumn id="2" xr3:uid="{3492DBF3-C08B-4941-A23A-7B3D65797EC8}" name="No of Submissio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open?id=1a1hEHwa1m-Som0L77atUhvrS04GPNWKG" TargetMode="External"/><Relationship Id="rId21" Type="http://schemas.openxmlformats.org/officeDocument/2006/relationships/hyperlink" Target="https://drive.google.com/open?id=1S-IhWZQ-1eihxDpjxA5PIf2LQzPvw6BOGhFhgX-W_Eg" TargetMode="External"/><Relationship Id="rId63" Type="http://schemas.openxmlformats.org/officeDocument/2006/relationships/hyperlink" Target="https://drive.google.com/open?id=14ckwPJ1QS7UApcpomcvUKkmHjbK3vDJr" TargetMode="External"/><Relationship Id="rId159" Type="http://schemas.openxmlformats.org/officeDocument/2006/relationships/hyperlink" Target="https://drive.google.com/open?id=149VbIDtMn0VDLzRlrWlDDT9rXLKH9M4l" TargetMode="External"/><Relationship Id="rId170" Type="http://schemas.openxmlformats.org/officeDocument/2006/relationships/hyperlink" Target="https://drive.google.com/open?id=1If0V9omA2oboWM3WEWkaC2iYLZ6fOm-F" TargetMode="External"/><Relationship Id="rId226" Type="http://schemas.openxmlformats.org/officeDocument/2006/relationships/hyperlink" Target="https://drive.google.com/open?id=1I7paP-SZQOuOWvfq2j2fBjH45HWzseVK" TargetMode="External"/><Relationship Id="rId268" Type="http://schemas.openxmlformats.org/officeDocument/2006/relationships/hyperlink" Target="https://drive.google.com/open?id=1cPiBYGqPGBx-5rlOkcSYg5y17XOq_KFd" TargetMode="External"/><Relationship Id="rId32" Type="http://schemas.openxmlformats.org/officeDocument/2006/relationships/hyperlink" Target="https://drive.google.com/open?id=1THskM0tFk7LyOdj1kB8lR4-J8JrTq8dq" TargetMode="External"/><Relationship Id="rId74" Type="http://schemas.openxmlformats.org/officeDocument/2006/relationships/hyperlink" Target="https://drive.google.com/open?id=1O1muEIQyRvYZgB80lEQKVhqRlZvQqzla" TargetMode="External"/><Relationship Id="rId128" Type="http://schemas.openxmlformats.org/officeDocument/2006/relationships/hyperlink" Target="https://drive.google.com/open?id=1I3lNoFPsfxtqzuueB8dp3ZZOYa8UWGQb" TargetMode="External"/><Relationship Id="rId5" Type="http://schemas.openxmlformats.org/officeDocument/2006/relationships/hyperlink" Target="https://drive.google.com/open?id=1M4g8XQRlPgj1j0i-vKnz3rcSl-Y-QtG2" TargetMode="External"/><Relationship Id="rId181" Type="http://schemas.openxmlformats.org/officeDocument/2006/relationships/hyperlink" Target="https://drive.google.com/open?id=1qd7napHKQuY3ErhZY0bVn2VB51q9Wffb" TargetMode="External"/><Relationship Id="rId237" Type="http://schemas.openxmlformats.org/officeDocument/2006/relationships/hyperlink" Target="https://drive.google.com/open?id=1q8h4i0gAWm-g9O7wIyNfr5gXuvgv42tF" TargetMode="External"/><Relationship Id="rId258" Type="http://schemas.openxmlformats.org/officeDocument/2006/relationships/hyperlink" Target="https://drive.google.com/open?id=17zJcnne2ChFMNtNSi2ERRDslInpoXsFp" TargetMode="External"/><Relationship Id="rId279" Type="http://schemas.openxmlformats.org/officeDocument/2006/relationships/hyperlink" Target="https://drive.google.com/open?id=1zhg47HANLrbhUrw2q0ZlGRSCRcqnXRQ1" TargetMode="External"/><Relationship Id="rId22" Type="http://schemas.openxmlformats.org/officeDocument/2006/relationships/hyperlink" Target="https://drive.google.com/open?id=1IftDr8MhE7fUDg7G6cICTQIu47scNeJdxmkkB77DnAU" TargetMode="External"/><Relationship Id="rId43" Type="http://schemas.openxmlformats.org/officeDocument/2006/relationships/hyperlink" Target="https://drive.google.com/open?id=1ZxMlpOJQM_quxCWcw4Gb2arMS39pdCzA" TargetMode="External"/><Relationship Id="rId64" Type="http://schemas.openxmlformats.org/officeDocument/2006/relationships/hyperlink" Target="https://drive.google.com/open?id=1k5hqDageiPVQc1x74se74kRi0qV3CrOo" TargetMode="External"/><Relationship Id="rId118" Type="http://schemas.openxmlformats.org/officeDocument/2006/relationships/hyperlink" Target="https://drive.google.com/open?id=1socCaR4IqmVv1MArVb2SNA6gXvUinKZ3" TargetMode="External"/><Relationship Id="rId139" Type="http://schemas.openxmlformats.org/officeDocument/2006/relationships/hyperlink" Target="https://drive.google.com/open?id=1sMnkqREegI1OgfvlB9mFARMrGZiOdhBN" TargetMode="External"/><Relationship Id="rId85" Type="http://schemas.openxmlformats.org/officeDocument/2006/relationships/hyperlink" Target="https://drive.google.com/open?id=16jMhT2rjRnprLWAo43TwzYiNeAArk7qq" TargetMode="External"/><Relationship Id="rId150" Type="http://schemas.openxmlformats.org/officeDocument/2006/relationships/hyperlink" Target="https://drive.google.com/open?id=1JG9PJkgz6T1LsbhkBphJIQs30PANx9ea" TargetMode="External"/><Relationship Id="rId171" Type="http://schemas.openxmlformats.org/officeDocument/2006/relationships/hyperlink" Target="https://drive.google.com/open?id=1Y-XRU6LwLSWktUI6RCCT1BeoOZ9N2FCY" TargetMode="External"/><Relationship Id="rId192" Type="http://schemas.openxmlformats.org/officeDocument/2006/relationships/hyperlink" Target="https://drive.google.com/open?id=1R1xo_lMTzH4E4_p1WP2wuE2v7TIthslj" TargetMode="External"/><Relationship Id="rId206" Type="http://schemas.openxmlformats.org/officeDocument/2006/relationships/hyperlink" Target="https://drive.google.com/open?id=11bjiTvjWdGK31aXnu6rxDYWV8f9ZkszP" TargetMode="External"/><Relationship Id="rId227" Type="http://schemas.openxmlformats.org/officeDocument/2006/relationships/hyperlink" Target="https://drive.google.com/open?id=1sdWvnWAvISFlhO7749r2zwQjxjlOFWbX" TargetMode="External"/><Relationship Id="rId248" Type="http://schemas.openxmlformats.org/officeDocument/2006/relationships/hyperlink" Target="https://drive.google.com/open?id=1jReabQmA4UOh17vOFx2kwa12jHgk6YVw" TargetMode="External"/><Relationship Id="rId269" Type="http://schemas.openxmlformats.org/officeDocument/2006/relationships/hyperlink" Target="https://drive.google.com/open?id=1097GDgimFu1Bfo2lkZiOPrzZbFcJgw8X" TargetMode="External"/><Relationship Id="rId12" Type="http://schemas.openxmlformats.org/officeDocument/2006/relationships/hyperlink" Target="https://drive.google.com/open?id=1ne2Ch_45MkmyE0p2J4iLPGeXyI9v3Ptn" TargetMode="External"/><Relationship Id="rId33" Type="http://schemas.openxmlformats.org/officeDocument/2006/relationships/hyperlink" Target="https://drive.google.com/open?id=1s87JJQFRkOr3nUG89SwwcGq23nD_NgNb" TargetMode="External"/><Relationship Id="rId108" Type="http://schemas.openxmlformats.org/officeDocument/2006/relationships/hyperlink" Target="https://drive.google.com/open?id=1rq2Al0tjqkqjPsADiGbyxzq7Heo7dKBZ" TargetMode="External"/><Relationship Id="rId129" Type="http://schemas.openxmlformats.org/officeDocument/2006/relationships/hyperlink" Target="https://drive.google.com/open?id=1dGhTrCb5_EIrds6CnlnqYeiemoI6-804" TargetMode="External"/><Relationship Id="rId280" Type="http://schemas.openxmlformats.org/officeDocument/2006/relationships/table" Target="../tables/table1.xml"/><Relationship Id="rId54" Type="http://schemas.openxmlformats.org/officeDocument/2006/relationships/hyperlink" Target="https://drive.google.com/open?id=1EFsIrHPOI8FfbCQQQivyr3o1DgxTIXvB" TargetMode="External"/><Relationship Id="rId75" Type="http://schemas.openxmlformats.org/officeDocument/2006/relationships/hyperlink" Target="https://drive.google.com/open?id=13VZMcNz_d9zfxbiEQdDSW_xhqPN3CZUc" TargetMode="External"/><Relationship Id="rId96" Type="http://schemas.openxmlformats.org/officeDocument/2006/relationships/hyperlink" Target="https://drive.google.com/open?id=1nYQuxt2n9I2C-6Uw94YlBCoT5TMYaCNH" TargetMode="External"/><Relationship Id="rId140" Type="http://schemas.openxmlformats.org/officeDocument/2006/relationships/hyperlink" Target="https://drive.google.com/open?id=1jnmEtXz3O8-Jvo9kzLEnCQv-w7IuppG8" TargetMode="External"/><Relationship Id="rId161" Type="http://schemas.openxmlformats.org/officeDocument/2006/relationships/hyperlink" Target="https://drive.google.com/open?id=1i8Xjvgiq--s9BZtiUpteNaAHAzouaX8N" TargetMode="External"/><Relationship Id="rId182" Type="http://schemas.openxmlformats.org/officeDocument/2006/relationships/hyperlink" Target="https://drive.google.com/open?id=1U4umbxoXBPb0eIYYrV4J2c3P4ynRvJwg" TargetMode="External"/><Relationship Id="rId217" Type="http://schemas.openxmlformats.org/officeDocument/2006/relationships/hyperlink" Target="https://drive.google.com/open?id=1miB_9KhOXtSHNaqSTI2qvQaaF8Ix_nWU" TargetMode="External"/><Relationship Id="rId6" Type="http://schemas.openxmlformats.org/officeDocument/2006/relationships/hyperlink" Target="https://drive.google.com/open?id=11s2Yzi6MFSapxj50Oyy2TgCCCDhLBTzt" TargetMode="External"/><Relationship Id="rId238" Type="http://schemas.openxmlformats.org/officeDocument/2006/relationships/hyperlink" Target="https://drive.google.com/open?id=1wAehiQ8cybCo0bgSFru0pP9nY45pFBi3" TargetMode="External"/><Relationship Id="rId259" Type="http://schemas.openxmlformats.org/officeDocument/2006/relationships/hyperlink" Target="https://drive.google.com/open?id=1XDnpd_CTbL8m4Rsrh7VXppIrIk52Tk6G" TargetMode="External"/><Relationship Id="rId23" Type="http://schemas.openxmlformats.org/officeDocument/2006/relationships/hyperlink" Target="https://drive.google.com/open?id=1rkh0G1EHc77ffH0Xap53q7kQL4ZLZRsKc1ABcaKRzrw" TargetMode="External"/><Relationship Id="rId119" Type="http://schemas.openxmlformats.org/officeDocument/2006/relationships/hyperlink" Target="https://drive.google.com/open?id=1xSnz_y9qMBeR69pwgJheLn3Qa899nQSo" TargetMode="External"/><Relationship Id="rId270" Type="http://schemas.openxmlformats.org/officeDocument/2006/relationships/hyperlink" Target="https://drive.google.com/open?id=1lEXU6IvnKUT5MhxFsnV1GpZsGyA2iq65" TargetMode="External"/><Relationship Id="rId44" Type="http://schemas.openxmlformats.org/officeDocument/2006/relationships/hyperlink" Target="https://drive.google.com/open?id=1Rgd3X_iQ_xDIBC2lB0vr9l_Vz1JJH6RH" TargetMode="External"/><Relationship Id="rId65" Type="http://schemas.openxmlformats.org/officeDocument/2006/relationships/hyperlink" Target="https://drive.google.com/open?id=10Xa-qpWatOCq9zDUCSzR5n98m19fL7_Y" TargetMode="External"/><Relationship Id="rId86" Type="http://schemas.openxmlformats.org/officeDocument/2006/relationships/hyperlink" Target="https://drive.google.com/open?id=18dAcCCTNUFB7ZWeKGEX0lEMwy724-aDj" TargetMode="External"/><Relationship Id="rId130" Type="http://schemas.openxmlformats.org/officeDocument/2006/relationships/hyperlink" Target="https://drive.google.com/open?id=1ZlPZ2CH7f08uE77a83Pw5KXaaOHRx1un" TargetMode="External"/><Relationship Id="rId151" Type="http://schemas.openxmlformats.org/officeDocument/2006/relationships/hyperlink" Target="https://drive.google.com/open?id=19rrTfXxZgoWwujz25SLXQJodWo8mviEC" TargetMode="External"/><Relationship Id="rId172" Type="http://schemas.openxmlformats.org/officeDocument/2006/relationships/hyperlink" Target="https://drive.google.com/open?id=1SVzQo8eKGkCMEAg4LWXsZjyiBaSNgQ14" TargetMode="External"/><Relationship Id="rId193" Type="http://schemas.openxmlformats.org/officeDocument/2006/relationships/hyperlink" Target="https://drive.google.com/open?id=12wk7PXoHe6IKNARpp0DOdy1pi_LZYIQJ" TargetMode="External"/><Relationship Id="rId207" Type="http://schemas.openxmlformats.org/officeDocument/2006/relationships/hyperlink" Target="https://drive.google.com/open?id=1gsIkUf-d0rjK5ltp3B98sjpK8r464ZDj" TargetMode="External"/><Relationship Id="rId228" Type="http://schemas.openxmlformats.org/officeDocument/2006/relationships/hyperlink" Target="https://drive.google.com/open?id=1PTo2iP_apn_C-g_7jC1Dwt80CuxC8JCe" TargetMode="External"/><Relationship Id="rId249" Type="http://schemas.openxmlformats.org/officeDocument/2006/relationships/hyperlink" Target="https://drive.google.com/open?id=1HPj-iUFLVv98LUSvmuLQ3l3a55ltb4kV" TargetMode="External"/><Relationship Id="rId13" Type="http://schemas.openxmlformats.org/officeDocument/2006/relationships/hyperlink" Target="https://drive.google.com/open?id=1CEJKw6yUIfqLCJBmDv56-Tm7qQ_h6dFO" TargetMode="External"/><Relationship Id="rId109" Type="http://schemas.openxmlformats.org/officeDocument/2006/relationships/hyperlink" Target="https://drive.google.com/open?id=15vcRSob0Y807oJnKwpWS6gW9GEAyB7Nd" TargetMode="External"/><Relationship Id="rId260" Type="http://schemas.openxmlformats.org/officeDocument/2006/relationships/hyperlink" Target="https://drive.google.com/open?id=1kY_mr1e32gK6mJuB2eVhS8DpPlhKWw0C" TargetMode="External"/><Relationship Id="rId34" Type="http://schemas.openxmlformats.org/officeDocument/2006/relationships/hyperlink" Target="https://drive.google.com/open?id=1a8bFwB7AVhHrk_9ewg25V36rCvZQyXoh" TargetMode="External"/><Relationship Id="rId55" Type="http://schemas.openxmlformats.org/officeDocument/2006/relationships/hyperlink" Target="https://drive.google.com/open?id=1J5-4Tvn-9SH6O4_dGO6XpVgiZn47EZEk" TargetMode="External"/><Relationship Id="rId76" Type="http://schemas.openxmlformats.org/officeDocument/2006/relationships/hyperlink" Target="https://drive.google.com/open?id=1gWLkTehIRI63SHCP6zErMkXnCy_Oq5nn" TargetMode="External"/><Relationship Id="rId97" Type="http://schemas.openxmlformats.org/officeDocument/2006/relationships/hyperlink" Target="https://drive.google.com/open?id=1y3-z2FrfD0ad8OoBlVWridvLKOu4TbEO" TargetMode="External"/><Relationship Id="rId120" Type="http://schemas.openxmlformats.org/officeDocument/2006/relationships/hyperlink" Target="https://drive.google.com/open?id=1-u9GaNLr8tMRwIkrl_-OIPfEEPOAtIU0" TargetMode="External"/><Relationship Id="rId141" Type="http://schemas.openxmlformats.org/officeDocument/2006/relationships/hyperlink" Target="https://drive.google.com/open?id=1iWVYLyTK-6MoabPle1ZXLHgOOAb4i79Y" TargetMode="External"/><Relationship Id="rId7" Type="http://schemas.openxmlformats.org/officeDocument/2006/relationships/hyperlink" Target="https://drive.google.com/open?id=1UflfGiaE0a6EsDFSIqIU58FxCOruAEqYQNXNXWBaEIY" TargetMode="External"/><Relationship Id="rId162" Type="http://schemas.openxmlformats.org/officeDocument/2006/relationships/hyperlink" Target="https://drive.google.com/open?id=1pU1PVkI1SBKA_LGFVz99ZGkFPtum9RYK" TargetMode="External"/><Relationship Id="rId183" Type="http://schemas.openxmlformats.org/officeDocument/2006/relationships/hyperlink" Target="https://drive.google.com/open?id=1XpO_PBOKDITDxD7dKZL9DsNHP4rxggyo" TargetMode="External"/><Relationship Id="rId218" Type="http://schemas.openxmlformats.org/officeDocument/2006/relationships/hyperlink" Target="https://drive.google.com/open?id=1Osed_MxswazfmwSuU4-Z-2Dy7I419Kab" TargetMode="External"/><Relationship Id="rId239" Type="http://schemas.openxmlformats.org/officeDocument/2006/relationships/hyperlink" Target="https://drive.google.com/open?id=1e8yaPI-YWSdPD9weHCjE-T9bb_x9-loz" TargetMode="External"/><Relationship Id="rId250" Type="http://schemas.openxmlformats.org/officeDocument/2006/relationships/hyperlink" Target="https://drive.google.com/open?id=1urS44JSAQrNIy0rhoNLew3g5qVzGlf-X" TargetMode="External"/><Relationship Id="rId271" Type="http://schemas.openxmlformats.org/officeDocument/2006/relationships/hyperlink" Target="https://drive.google.com/open?id=1vxQV0w_u1arhj_BE71I6_yVs79Q6a1VB" TargetMode="External"/><Relationship Id="rId24" Type="http://schemas.openxmlformats.org/officeDocument/2006/relationships/hyperlink" Target="https://drive.google.com/open?id=1JHm4IGcPhhG1LxdGDcFNuwGbs9jRw3z2gl9aCbD155o" TargetMode="External"/><Relationship Id="rId45" Type="http://schemas.openxmlformats.org/officeDocument/2006/relationships/hyperlink" Target="https://drive.google.com/open?id=1W9J-1tzhoUtpDOjG1sVnitjFZKAjYQIf" TargetMode="External"/><Relationship Id="rId66" Type="http://schemas.openxmlformats.org/officeDocument/2006/relationships/hyperlink" Target="https://drive.google.com/open?id=1RP6q0PB7i8FMOA1UbUtYHNtiKxnCLyVf" TargetMode="External"/><Relationship Id="rId87" Type="http://schemas.openxmlformats.org/officeDocument/2006/relationships/hyperlink" Target="https://drive.google.com/open?id=1uJoPor4K2Ppq0QutOn3N_N3KNTqDGTqX" TargetMode="External"/><Relationship Id="rId110" Type="http://schemas.openxmlformats.org/officeDocument/2006/relationships/hyperlink" Target="https://drive.google.com/open?id=1IHPRoUV0AfGSXgxgVqbBZp5jJkVvCW9m" TargetMode="External"/><Relationship Id="rId131" Type="http://schemas.openxmlformats.org/officeDocument/2006/relationships/hyperlink" Target="https://drive.google.com/open?id=1cNfp6ct8OwIcCrtf60OAqq85LMY26hYY" TargetMode="External"/><Relationship Id="rId152" Type="http://schemas.openxmlformats.org/officeDocument/2006/relationships/hyperlink" Target="https://drive.google.com/open?id=1PpGwmMvhwbGePXhiGt1NckhHVDnj2ndy" TargetMode="External"/><Relationship Id="rId173" Type="http://schemas.openxmlformats.org/officeDocument/2006/relationships/hyperlink" Target="https://drive.google.com/open?id=1I_az5QShGnUbkhvSgu2QwKwegznmw4nx" TargetMode="External"/><Relationship Id="rId194" Type="http://schemas.openxmlformats.org/officeDocument/2006/relationships/hyperlink" Target="https://drive.google.com/open?id=1_xby2WvSNBFRMykoO16v55FGQG-kBoiQ" TargetMode="External"/><Relationship Id="rId208" Type="http://schemas.openxmlformats.org/officeDocument/2006/relationships/hyperlink" Target="https://drive.google.com/open?id=1-RMox1q-qxosU_CuoXZMZhk9U1wCNrt5" TargetMode="External"/><Relationship Id="rId229" Type="http://schemas.openxmlformats.org/officeDocument/2006/relationships/hyperlink" Target="https://drive.google.com/open?id=1IH4xOldsCJQMyG_x79E6sVMnYj_Rbdbk" TargetMode="External"/><Relationship Id="rId240" Type="http://schemas.openxmlformats.org/officeDocument/2006/relationships/hyperlink" Target="https://drive.google.com/open?id=1Z-CfQf1wjXDbBHGl0TcZ9oAiVaxpkkaF" TargetMode="External"/><Relationship Id="rId261" Type="http://schemas.openxmlformats.org/officeDocument/2006/relationships/hyperlink" Target="https://drive.google.com/open?id=10Tub0Qu8GVBbCGTHkW2C7coE3VpvQMa8" TargetMode="External"/><Relationship Id="rId14" Type="http://schemas.openxmlformats.org/officeDocument/2006/relationships/hyperlink" Target="https://drive.google.com/open?id=11MtNOIWgYhduUjNewUpMT_gK5YDZyTIF" TargetMode="External"/><Relationship Id="rId35" Type="http://schemas.openxmlformats.org/officeDocument/2006/relationships/hyperlink" Target="https://drive.google.com/open?id=1gSFrS7XCuxeAk4Zh62ehLJe302pWSQC3" TargetMode="External"/><Relationship Id="rId56" Type="http://schemas.openxmlformats.org/officeDocument/2006/relationships/hyperlink" Target="https://drive.google.com/open?id=1S_7eU-Z2d3KZGbQKCSk1u84kqTpZR9nN" TargetMode="External"/><Relationship Id="rId77" Type="http://schemas.openxmlformats.org/officeDocument/2006/relationships/hyperlink" Target="https://drive.google.com/open?id=1zY2jEKjb-TZHpev-4LVTvsmsEyJHvyQ4" TargetMode="External"/><Relationship Id="rId100" Type="http://schemas.openxmlformats.org/officeDocument/2006/relationships/hyperlink" Target="https://drive.google.com/open?id=1KuEECetjnVJD7pTVnvV0Q7eBj5UfamhP" TargetMode="External"/><Relationship Id="rId8" Type="http://schemas.openxmlformats.org/officeDocument/2006/relationships/hyperlink" Target="https://drive.google.com/open?id=1FvzrE4CjqdpK6WAW2UNRzOjqbGgnAeOx" TargetMode="External"/><Relationship Id="rId98" Type="http://schemas.openxmlformats.org/officeDocument/2006/relationships/hyperlink" Target="https://drive.google.com/open?id=1wH87cYaeXA0YnrcjTYozOCSq1yYcIxlD" TargetMode="External"/><Relationship Id="rId121" Type="http://schemas.openxmlformats.org/officeDocument/2006/relationships/hyperlink" Target="https://drive.google.com/open?id=152tgTl-0IgtgKh0K2glttLEaazoSHN5h" TargetMode="External"/><Relationship Id="rId142" Type="http://schemas.openxmlformats.org/officeDocument/2006/relationships/hyperlink" Target="https://drive.google.com/open?id=1jbcyZbKfJto4TUhQErfeeBW29ZSnKY5D" TargetMode="External"/><Relationship Id="rId163" Type="http://schemas.openxmlformats.org/officeDocument/2006/relationships/hyperlink" Target="https://drive.google.com/open?id=1zLMR_sF8jBRTBAUbewLrW0OHdi7_i_oy" TargetMode="External"/><Relationship Id="rId184" Type="http://schemas.openxmlformats.org/officeDocument/2006/relationships/hyperlink" Target="https://drive.google.com/open?id=1ZM_dkJ5PCISNpfBBVMPXi6DGddeEhxuz" TargetMode="External"/><Relationship Id="rId219" Type="http://schemas.openxmlformats.org/officeDocument/2006/relationships/hyperlink" Target="https://drive.google.com/open?id=1aFw7-88d4Qk3cXwFh61zuL_kALBgKVSq" TargetMode="External"/><Relationship Id="rId230" Type="http://schemas.openxmlformats.org/officeDocument/2006/relationships/hyperlink" Target="https://drive.google.com/open?id=1b6PUdjQx34nVYdDQssJmCA5mFWNAncfr" TargetMode="External"/><Relationship Id="rId251" Type="http://schemas.openxmlformats.org/officeDocument/2006/relationships/hyperlink" Target="https://drive.google.com/open?id=1qqsDVdj2Jk1gbGYmWDTfYL-04tuJy3or" TargetMode="External"/><Relationship Id="rId25" Type="http://schemas.openxmlformats.org/officeDocument/2006/relationships/hyperlink" Target="https://drive.google.com/open?id=1fSL9D6FHxSya6yL_SEPT53g7yIterv3T" TargetMode="External"/><Relationship Id="rId46" Type="http://schemas.openxmlformats.org/officeDocument/2006/relationships/hyperlink" Target="https://drive.google.com/open?id=1q9_hgOKjGghK6TKYYQY3XlC300wFbqgq" TargetMode="External"/><Relationship Id="rId67" Type="http://schemas.openxmlformats.org/officeDocument/2006/relationships/hyperlink" Target="https://drive.google.com/open?id=1QAUdjRbvkukFZwY9eJVN3vvYPf3Lz9Af" TargetMode="External"/><Relationship Id="rId272" Type="http://schemas.openxmlformats.org/officeDocument/2006/relationships/hyperlink" Target="https://drive.google.com/open?id=1q0wC0K9VTDtjnEZDdo5o5czXq6TUwgr8" TargetMode="External"/><Relationship Id="rId88" Type="http://schemas.openxmlformats.org/officeDocument/2006/relationships/hyperlink" Target="https://drive.google.com/open?id=1xhV2OHrKSMbMLLvPtn_WJXIiDV7loDt3" TargetMode="External"/><Relationship Id="rId111" Type="http://schemas.openxmlformats.org/officeDocument/2006/relationships/hyperlink" Target="https://drive.google.com/open?id=1pyloG3EnwsUxB11ky1Fy5XnBrlel_PMl" TargetMode="External"/><Relationship Id="rId132" Type="http://schemas.openxmlformats.org/officeDocument/2006/relationships/hyperlink" Target="https://drive.google.com/open?id=1DAh-btQrGMgUld4koEO9DuPy15jY0s_b" TargetMode="External"/><Relationship Id="rId153" Type="http://schemas.openxmlformats.org/officeDocument/2006/relationships/hyperlink" Target="https://drive.google.com/open?id=1-5lNlgwBHybf56axNEyRCKHUWY9-w1_H" TargetMode="External"/><Relationship Id="rId174" Type="http://schemas.openxmlformats.org/officeDocument/2006/relationships/hyperlink" Target="https://drive.google.com/open?id=1ubEAjssn2IUdrSjf-ojbITIp2zaZoAOP" TargetMode="External"/><Relationship Id="rId195" Type="http://schemas.openxmlformats.org/officeDocument/2006/relationships/hyperlink" Target="https://drive.google.com/open?id=1GYTgsZm70dAZg6PwsuFHcSGNs6sRku0a" TargetMode="External"/><Relationship Id="rId209" Type="http://schemas.openxmlformats.org/officeDocument/2006/relationships/hyperlink" Target="https://drive.google.com/open?id=1lQpCpf7bzLn_ilxLh2d6nQZ2v9YdTmtF" TargetMode="External"/><Relationship Id="rId220" Type="http://schemas.openxmlformats.org/officeDocument/2006/relationships/hyperlink" Target="https://drive.google.com/open?id=1rpTrTHnl9i7IQWaG_UnogRkAglWkARf-" TargetMode="External"/><Relationship Id="rId241" Type="http://schemas.openxmlformats.org/officeDocument/2006/relationships/hyperlink" Target="https://drive.google.com/open?id=1yh0eLCb8fA7fi2cRCiWvx2KfEfDoob43" TargetMode="External"/><Relationship Id="rId15" Type="http://schemas.openxmlformats.org/officeDocument/2006/relationships/hyperlink" Target="https://drive.google.com/open?id=185OMPGpyV14_3Ywf9ikUou7KGMtY-GSp" TargetMode="External"/><Relationship Id="rId36" Type="http://schemas.openxmlformats.org/officeDocument/2006/relationships/hyperlink" Target="https://drive.google.com/open?id=1o99cb9VzbBhRj45lC_i_T0SYTt8au4Tm" TargetMode="External"/><Relationship Id="rId57" Type="http://schemas.openxmlformats.org/officeDocument/2006/relationships/hyperlink" Target="https://drive.google.com/open?id=1OQPAz9OonK4IKHsjB_7LswHT5rCdHvxIrVS13sIG3ZM" TargetMode="External"/><Relationship Id="rId262" Type="http://schemas.openxmlformats.org/officeDocument/2006/relationships/hyperlink" Target="https://drive.google.com/open?id=1XbAt3oPqtzr0qukLH92U1xZaYUOZL-8a" TargetMode="External"/><Relationship Id="rId78" Type="http://schemas.openxmlformats.org/officeDocument/2006/relationships/hyperlink" Target="https://drive.google.com/open?id=1TuHHrUrkTVabWfwJlgO0cqn6RtNxK6yI" TargetMode="External"/><Relationship Id="rId99" Type="http://schemas.openxmlformats.org/officeDocument/2006/relationships/hyperlink" Target="https://drive.google.com/open?id=1uowW9yxbpXTs1B6YTiULyq2ymP9SW38V" TargetMode="External"/><Relationship Id="rId101" Type="http://schemas.openxmlformats.org/officeDocument/2006/relationships/hyperlink" Target="https://drive.google.com/open?id=1jVmopRrRQVO3s8IsGr2X8n4MRJBGUB8q" TargetMode="External"/><Relationship Id="rId122" Type="http://schemas.openxmlformats.org/officeDocument/2006/relationships/hyperlink" Target="https://drive.google.com/open?id=1OjLudhvfaEPsRFubD1UNzUZSWfdOSFpT" TargetMode="External"/><Relationship Id="rId143" Type="http://schemas.openxmlformats.org/officeDocument/2006/relationships/hyperlink" Target="https://drive.google.com/open?id=1fVsEprBuRLORdeoWn-1Jn1qKXLMBLSYj" TargetMode="External"/><Relationship Id="rId164" Type="http://schemas.openxmlformats.org/officeDocument/2006/relationships/hyperlink" Target="https://drive.google.com/open?id=1yPCn9tqz50PnmBLcG3psu3I1Fwv7J8om" TargetMode="External"/><Relationship Id="rId185" Type="http://schemas.openxmlformats.org/officeDocument/2006/relationships/hyperlink" Target="https://drive.google.com/open?id=1jfEipEh7hy8qXtP4OnllKjZ7O13hv0Ip" TargetMode="External"/><Relationship Id="rId9" Type="http://schemas.openxmlformats.org/officeDocument/2006/relationships/hyperlink" Target="https://drive.google.com/open?id=1Z8ma06GtF4RX_fidb-R-o_IFCo74IcK-" TargetMode="External"/><Relationship Id="rId210" Type="http://schemas.openxmlformats.org/officeDocument/2006/relationships/hyperlink" Target="https://drive.google.com/open?id=18jZpRFxIa7s56FQzt-IeBJeMwMhQsYBJ" TargetMode="External"/><Relationship Id="rId26" Type="http://schemas.openxmlformats.org/officeDocument/2006/relationships/hyperlink" Target="https://drive.google.com/open?id=1nVBMs0zdlZ9h4u5GpJY_ijErZtBhxw63" TargetMode="External"/><Relationship Id="rId231" Type="http://schemas.openxmlformats.org/officeDocument/2006/relationships/hyperlink" Target="https://drive.google.com/open?id=1aW4IFQlmNNw_k9Y7-yTzQBf8whsSBE7f" TargetMode="External"/><Relationship Id="rId252" Type="http://schemas.openxmlformats.org/officeDocument/2006/relationships/hyperlink" Target="https://drive.google.com/open?id=1nk_uVdE8Qkb41D0g075VddL46yadhvRF" TargetMode="External"/><Relationship Id="rId273" Type="http://schemas.openxmlformats.org/officeDocument/2006/relationships/hyperlink" Target="https://drive.google.com/open?id=1MPpcHKHnaXsO_DXIJ-HwqCmrj2NR2FcW" TargetMode="External"/><Relationship Id="rId47" Type="http://schemas.openxmlformats.org/officeDocument/2006/relationships/hyperlink" Target="https://drive.google.com/open?id=11NMcnj2Spb5gvacYxkkRRMPDtZl86Dgt" TargetMode="External"/><Relationship Id="rId68" Type="http://schemas.openxmlformats.org/officeDocument/2006/relationships/hyperlink" Target="https://drive.google.com/open?id=1fhcWq4XjUhL9PZXjX8AIqKKEP1IaPwRT" TargetMode="External"/><Relationship Id="rId89" Type="http://schemas.openxmlformats.org/officeDocument/2006/relationships/hyperlink" Target="https://drive.google.com/open?id=1KeESJWwW-yVgciLD1OMgxixZUKtzCM9j" TargetMode="External"/><Relationship Id="rId112" Type="http://schemas.openxmlformats.org/officeDocument/2006/relationships/hyperlink" Target="https://drive.google.com/open?id=1__mnh8Ox-AB9NZJ3I1prK34euUJm-9RI" TargetMode="External"/><Relationship Id="rId133" Type="http://schemas.openxmlformats.org/officeDocument/2006/relationships/hyperlink" Target="https://drive.google.com/open?id=1jqgu4ss0SuyjBmi1cpt-x6lG5QANIzzT" TargetMode="External"/><Relationship Id="rId154" Type="http://schemas.openxmlformats.org/officeDocument/2006/relationships/hyperlink" Target="https://drive.google.com/open?id=1Nl7QvcAGbNJ-RqfIU97bLQcUkO90BF54" TargetMode="External"/><Relationship Id="rId175" Type="http://schemas.openxmlformats.org/officeDocument/2006/relationships/hyperlink" Target="https://drive.google.com/open?id=1TaJkZfr6TceC3DdnPAvCxxYB3t_eGhB4" TargetMode="External"/><Relationship Id="rId196" Type="http://schemas.openxmlformats.org/officeDocument/2006/relationships/hyperlink" Target="https://drive.google.com/open?id=1fhHCD00Zc1cub9z5lHHg9BWLFLdTopoM" TargetMode="External"/><Relationship Id="rId200" Type="http://schemas.openxmlformats.org/officeDocument/2006/relationships/hyperlink" Target="https://drive.google.com/open?id=15ebw42I9xuvUmAovA01gCh0Cnumn-xR0" TargetMode="External"/><Relationship Id="rId16" Type="http://schemas.openxmlformats.org/officeDocument/2006/relationships/hyperlink" Target="https://drive.google.com/open?id=1CPohZLzy0xQHwGwfnESGOwq2itUttN56" TargetMode="External"/><Relationship Id="rId221" Type="http://schemas.openxmlformats.org/officeDocument/2006/relationships/hyperlink" Target="https://drive.google.com/open?id=1J8bPYs7US39tfqxdDMONTAqG0ZddrHzn" TargetMode="External"/><Relationship Id="rId242" Type="http://schemas.openxmlformats.org/officeDocument/2006/relationships/hyperlink" Target="https://drive.google.com/open?id=1XWrxjMltiyUCfTG5lmChL26sZjf8e_m9" TargetMode="External"/><Relationship Id="rId263" Type="http://schemas.openxmlformats.org/officeDocument/2006/relationships/hyperlink" Target="https://drive.google.com/open?id=1EvyAIuX14d5woH4yAukljXkmcRDVBdkj" TargetMode="External"/><Relationship Id="rId37" Type="http://schemas.openxmlformats.org/officeDocument/2006/relationships/hyperlink" Target="https://drive.google.com/open?id=1YBwSEYcHdI4U8fbjQad0gasI1Qj1IvUk" TargetMode="External"/><Relationship Id="rId58" Type="http://schemas.openxmlformats.org/officeDocument/2006/relationships/hyperlink" Target="https://drive.google.com/open?id=1dGbnHmC0H4OJn8jnrAJZbgGMqHz4rMiY" TargetMode="External"/><Relationship Id="rId79" Type="http://schemas.openxmlformats.org/officeDocument/2006/relationships/hyperlink" Target="https://drive.google.com/open?id=1rPW90xtDVbIzOgDo1uOsstFAfAG070EF" TargetMode="External"/><Relationship Id="rId102" Type="http://schemas.openxmlformats.org/officeDocument/2006/relationships/hyperlink" Target="https://drive.google.com/open?id=1CqwC-oMyF8W-biLeKWrK5urjO0947IOa" TargetMode="External"/><Relationship Id="rId123" Type="http://schemas.openxmlformats.org/officeDocument/2006/relationships/hyperlink" Target="https://drive.google.com/open?id=1kFYkTq3y8i-HmmmH1omvqcgT2qEPMtWV" TargetMode="External"/><Relationship Id="rId144" Type="http://schemas.openxmlformats.org/officeDocument/2006/relationships/hyperlink" Target="https://drive.google.com/open?id=15ZKPg7WieMCW0Aj2Xx_Or9GaTCIMXD6g" TargetMode="External"/><Relationship Id="rId90" Type="http://schemas.openxmlformats.org/officeDocument/2006/relationships/hyperlink" Target="https://drive.google.com/open?id=1k2pGuOZpfvWewAWzP3XbUicLLmhgkXVY" TargetMode="External"/><Relationship Id="rId165" Type="http://schemas.openxmlformats.org/officeDocument/2006/relationships/hyperlink" Target="https://drive.google.com/open?id=1YeTBCX14M_-6InvMaMQeDM17gl7AIEQC" TargetMode="External"/><Relationship Id="rId186" Type="http://schemas.openxmlformats.org/officeDocument/2006/relationships/hyperlink" Target="https://drive.google.com/open?id=1pGAdnzXvphjfJebv5Q6Ge-Ea3C5r-q9s" TargetMode="External"/><Relationship Id="rId211" Type="http://schemas.openxmlformats.org/officeDocument/2006/relationships/hyperlink" Target="https://drive.google.com/open?id=1X-6GHXHXqxrUfWMPoCfegY68HVmL7rz7" TargetMode="External"/><Relationship Id="rId232" Type="http://schemas.openxmlformats.org/officeDocument/2006/relationships/hyperlink" Target="https://drive.google.com/open?id=1PIvRVgtt3l5OV133QghYAswU3Ewr1vZ8" TargetMode="External"/><Relationship Id="rId253" Type="http://schemas.openxmlformats.org/officeDocument/2006/relationships/hyperlink" Target="https://drive.google.com/open?id=1XfVuBokpEx4zjZm115OrafqMankv6C7W" TargetMode="External"/><Relationship Id="rId274" Type="http://schemas.openxmlformats.org/officeDocument/2006/relationships/hyperlink" Target="https://drive.google.com/open?id=1S6VrFH2Q6eOxW7qR87ycHk62Ue41Ksh1" TargetMode="External"/><Relationship Id="rId27" Type="http://schemas.openxmlformats.org/officeDocument/2006/relationships/hyperlink" Target="https://drive.google.com/open?id=1chXvHdx4rIQT5o9cpw5gz6WpcpQLsq2O" TargetMode="External"/><Relationship Id="rId48" Type="http://schemas.openxmlformats.org/officeDocument/2006/relationships/hyperlink" Target="https://drive.google.com/open?id=1t69rFdZAvjpxMZWJHSoM86ZA3AWhxFGH" TargetMode="External"/><Relationship Id="rId69" Type="http://schemas.openxmlformats.org/officeDocument/2006/relationships/hyperlink" Target="https://drive.google.com/open?id=1Uvxqd_hKkK5UZoJYliXY1ULbpPBhPC9s" TargetMode="External"/><Relationship Id="rId113" Type="http://schemas.openxmlformats.org/officeDocument/2006/relationships/hyperlink" Target="https://drive.google.com/open?id=1VbOWj6zMOd_tTDekJauOz4kbC2qEnOj2" TargetMode="External"/><Relationship Id="rId134" Type="http://schemas.openxmlformats.org/officeDocument/2006/relationships/hyperlink" Target="https://drive.google.com/open?id=19mfMjzMXEm9FnZO-6U3BxqomSM0w74EQ" TargetMode="External"/><Relationship Id="rId80" Type="http://schemas.openxmlformats.org/officeDocument/2006/relationships/hyperlink" Target="https://drive.google.com/open?id=1dA91mlJTdrIR5VTOWt0niz6o0xCo_i8u" TargetMode="External"/><Relationship Id="rId155" Type="http://schemas.openxmlformats.org/officeDocument/2006/relationships/hyperlink" Target="https://drive.google.com/open?id=1q80AaE09FDNB1lwpuBNj5Ub6pNEwZk_F" TargetMode="External"/><Relationship Id="rId176" Type="http://schemas.openxmlformats.org/officeDocument/2006/relationships/hyperlink" Target="https://drive.google.com/open?id=1GLVU9WZiMgO4vpC2J_cU4RkEdGE1eRcf" TargetMode="External"/><Relationship Id="rId197" Type="http://schemas.openxmlformats.org/officeDocument/2006/relationships/hyperlink" Target="https://drive.google.com/open?id=14Uhvq_CLbzB7ihnmOH6OZbgK4ggPqL_A" TargetMode="External"/><Relationship Id="rId201" Type="http://schemas.openxmlformats.org/officeDocument/2006/relationships/hyperlink" Target="https://drive.google.com/open?id=1JptGCsAADL4-WNAtRSsswHrqeKdpDp7V" TargetMode="External"/><Relationship Id="rId222" Type="http://schemas.openxmlformats.org/officeDocument/2006/relationships/hyperlink" Target="https://drive.google.com/open?id=1ik69MgFba974jqzV7kYwO8Fvi9K4MoxV" TargetMode="External"/><Relationship Id="rId243" Type="http://schemas.openxmlformats.org/officeDocument/2006/relationships/hyperlink" Target="https://drive.google.com/open?id=1CcrCu4-fRtLZxs62a6_V4l2MvsQZgp-P" TargetMode="External"/><Relationship Id="rId264" Type="http://schemas.openxmlformats.org/officeDocument/2006/relationships/hyperlink" Target="https://drive.google.com/open?id=1dcEobBxwFGL4SEYee22qXb_5TW_kbf54" TargetMode="External"/><Relationship Id="rId17" Type="http://schemas.openxmlformats.org/officeDocument/2006/relationships/hyperlink" Target="https://drive.google.com/open?id=1bE0Z4KsReUSR9c07jcDd9PMZDimfMHUH" TargetMode="External"/><Relationship Id="rId38" Type="http://schemas.openxmlformats.org/officeDocument/2006/relationships/hyperlink" Target="https://drive.google.com/open?id=1KHDcKKiQdCqHvUAjxAch0xWIWX91sFi6" TargetMode="External"/><Relationship Id="rId59" Type="http://schemas.openxmlformats.org/officeDocument/2006/relationships/hyperlink" Target="https://drive.google.com/open?id=1qM7UzNSPWbggjijgWDViUFNEzoBaJE-2" TargetMode="External"/><Relationship Id="rId103" Type="http://schemas.openxmlformats.org/officeDocument/2006/relationships/hyperlink" Target="https://drive.google.com/open?id=10tTlQ230tGLtkBTvaoMwyvLViB8bQ0z4" TargetMode="External"/><Relationship Id="rId124" Type="http://schemas.openxmlformats.org/officeDocument/2006/relationships/hyperlink" Target="https://drive.google.com/open?id=1NEuEiUyIOp17O_ZNK_LiYN1qNkYw7FxF" TargetMode="External"/><Relationship Id="rId70" Type="http://schemas.openxmlformats.org/officeDocument/2006/relationships/hyperlink" Target="https://drive.google.com/open?id=1jDdPOgNvZY5NRva6F9dB1e5tyaXo_n0r" TargetMode="External"/><Relationship Id="rId91" Type="http://schemas.openxmlformats.org/officeDocument/2006/relationships/hyperlink" Target="https://drive.google.com/open?id=1l-ai9fLVjD8D7rjc3JLYcZGgdJqKuoVj" TargetMode="External"/><Relationship Id="rId145" Type="http://schemas.openxmlformats.org/officeDocument/2006/relationships/hyperlink" Target="https://drive.google.com/open?id=17PYLFS6ZofX3T2Hhx8R1i_3w7Hxj7oXR" TargetMode="External"/><Relationship Id="rId166" Type="http://schemas.openxmlformats.org/officeDocument/2006/relationships/hyperlink" Target="https://drive.google.com/open?id=10-v8P8PfyrmZ8_nIDwMvB3ghLVuyrBOp" TargetMode="External"/><Relationship Id="rId187" Type="http://schemas.openxmlformats.org/officeDocument/2006/relationships/hyperlink" Target="https://drive.google.com/open?id=1ySXAfQdG-nnI5swVwXhD2fNfGiDHcZBS" TargetMode="External"/><Relationship Id="rId1" Type="http://schemas.openxmlformats.org/officeDocument/2006/relationships/hyperlink" Target="https://drive.google.com/open?id=19ODOlAd89TQgO4kyPS6-Z-xhicmTAXAS" TargetMode="External"/><Relationship Id="rId212" Type="http://schemas.openxmlformats.org/officeDocument/2006/relationships/hyperlink" Target="https://drive.google.com/open?id=1Gft2lfQ54W31cxY2nTcKSUFx_Hr2kqBC" TargetMode="External"/><Relationship Id="rId233" Type="http://schemas.openxmlformats.org/officeDocument/2006/relationships/hyperlink" Target="https://drive.google.com/open?id=15Siq7Kl-ybm44zYOKqL9z9WaufxjV62j" TargetMode="External"/><Relationship Id="rId254" Type="http://schemas.openxmlformats.org/officeDocument/2006/relationships/hyperlink" Target="https://drive.google.com/open?id=16tdQMu3V5i1dBHpmE58XiNiQSCrhl7_s" TargetMode="External"/><Relationship Id="rId28" Type="http://schemas.openxmlformats.org/officeDocument/2006/relationships/hyperlink" Target="https://drive.google.com/open?id=17nmzid0PBEFr0t4wka16u8sTjoAquQX6" TargetMode="External"/><Relationship Id="rId49" Type="http://schemas.openxmlformats.org/officeDocument/2006/relationships/hyperlink" Target="https://drive.google.com/open?id=1UuS-UnDlm3ignSnTG-mzkiQolGCL_E2g" TargetMode="External"/><Relationship Id="rId114" Type="http://schemas.openxmlformats.org/officeDocument/2006/relationships/hyperlink" Target="https://drive.google.com/open?id=1GIsVW1Wev5O1073BNMxGhAWhJgORltI7" TargetMode="External"/><Relationship Id="rId275" Type="http://schemas.openxmlformats.org/officeDocument/2006/relationships/hyperlink" Target="https://drive.google.com/open?id=1oPfh4kogCWPc9w8YuCIT8bzkaCiDCZh1" TargetMode="External"/><Relationship Id="rId60" Type="http://schemas.openxmlformats.org/officeDocument/2006/relationships/hyperlink" Target="https://drive.google.com/open?id=1gxn9YFiSdyO-qjU5KSLDoqwvAgtH0sRO" TargetMode="External"/><Relationship Id="rId81" Type="http://schemas.openxmlformats.org/officeDocument/2006/relationships/hyperlink" Target="https://drive.google.com/open?id=18cPj4j8JzrMFdIFLbCvEtOhXAZnrdQNV" TargetMode="External"/><Relationship Id="rId135" Type="http://schemas.openxmlformats.org/officeDocument/2006/relationships/hyperlink" Target="https://drive.google.com/open?id=1kVf_-NKv47D4_DJkYDzEG0UzrisM-_2Z" TargetMode="External"/><Relationship Id="rId156" Type="http://schemas.openxmlformats.org/officeDocument/2006/relationships/hyperlink" Target="https://drive.google.com/open?id=19VJj-FCtAFAJJKXLbNNVr4XgRNwsAHrC" TargetMode="External"/><Relationship Id="rId177" Type="http://schemas.openxmlformats.org/officeDocument/2006/relationships/hyperlink" Target="https://drive.google.com/open?id=1UPGEek_iEcyPucVgct1iRqdXaBsZU2qU" TargetMode="External"/><Relationship Id="rId198" Type="http://schemas.openxmlformats.org/officeDocument/2006/relationships/hyperlink" Target="https://drive.google.com/open?id=1qnxu9j6bGFhCRX286PiMFMyZr6BIWlKE" TargetMode="External"/><Relationship Id="rId202" Type="http://schemas.openxmlformats.org/officeDocument/2006/relationships/hyperlink" Target="https://drive.google.com/open?id=1X91QnzIUXyDzy-9k1l40VuY4ZlmVfjcR" TargetMode="External"/><Relationship Id="rId223" Type="http://schemas.openxmlformats.org/officeDocument/2006/relationships/hyperlink" Target="https://drive.google.com/open?id=1X7jLIxoOfazSQtw5HCmxsRGyqeA1f_NE" TargetMode="External"/><Relationship Id="rId244" Type="http://schemas.openxmlformats.org/officeDocument/2006/relationships/hyperlink" Target="https://drive.google.com/open?id=1bGPhTYqhRUIwS7PITuv3GSwu3Y_ps_YP" TargetMode="External"/><Relationship Id="rId18" Type="http://schemas.openxmlformats.org/officeDocument/2006/relationships/hyperlink" Target="https://drive.google.com/open?id=1zAnsjfeTZX-VOHRHNtJ_S_-SJfpMll_V" TargetMode="External"/><Relationship Id="rId39" Type="http://schemas.openxmlformats.org/officeDocument/2006/relationships/hyperlink" Target="https://drive.google.com/open?id=17JGVwh1hHc-wc84P5tzckg-K1SXhyaiD" TargetMode="External"/><Relationship Id="rId265" Type="http://schemas.openxmlformats.org/officeDocument/2006/relationships/hyperlink" Target="https://drive.google.com/open?id=1Ey9Jk_Rc17soQ4y5ajRMB-2KHHTvjozK" TargetMode="External"/><Relationship Id="rId50" Type="http://schemas.openxmlformats.org/officeDocument/2006/relationships/hyperlink" Target="https://drive.google.com/open?id=1SHlBKPBhsSmYcw99YbIPyDMOM3-bso5Y" TargetMode="External"/><Relationship Id="rId104" Type="http://schemas.openxmlformats.org/officeDocument/2006/relationships/hyperlink" Target="https://drive.google.com/open?id=1KdPVeH2HBT-gTjgl-ASzwdA4p6KdjZf4" TargetMode="External"/><Relationship Id="rId125" Type="http://schemas.openxmlformats.org/officeDocument/2006/relationships/hyperlink" Target="https://drive.google.com/open?id=1EGz-w2s43DE7FqwFoxrkivB5_EPuTlwJ" TargetMode="External"/><Relationship Id="rId146" Type="http://schemas.openxmlformats.org/officeDocument/2006/relationships/hyperlink" Target="https://drive.google.com/open?id=1aPjpD5-O4SaThhNgYVsgtqjrmPxX5JbW" TargetMode="External"/><Relationship Id="rId167" Type="http://schemas.openxmlformats.org/officeDocument/2006/relationships/hyperlink" Target="https://drive.google.com/open?id=1Yd3nhr0klviwt9EBv-woz03iCmFDGRGV" TargetMode="External"/><Relationship Id="rId188" Type="http://schemas.openxmlformats.org/officeDocument/2006/relationships/hyperlink" Target="https://drive.google.com/open?id=1DPuOUP4QD7z9VkLSrofNqcRcXR_ZrKxr" TargetMode="External"/><Relationship Id="rId71" Type="http://schemas.openxmlformats.org/officeDocument/2006/relationships/hyperlink" Target="https://drive.google.com/open?id=1sW8Rl7CtcbVnVBnIKzsCyOeqZsKNzMFD" TargetMode="External"/><Relationship Id="rId92" Type="http://schemas.openxmlformats.org/officeDocument/2006/relationships/hyperlink" Target="https://drive.google.com/open?id=1nGRaZDwCpQIPh7GiqL0MJJz7SE2-yX91" TargetMode="External"/><Relationship Id="rId213" Type="http://schemas.openxmlformats.org/officeDocument/2006/relationships/hyperlink" Target="https://drive.google.com/open?id=1-MLlNNxO8-04YLzT4rIoYCNIPvOBWJS1" TargetMode="External"/><Relationship Id="rId234" Type="http://schemas.openxmlformats.org/officeDocument/2006/relationships/hyperlink" Target="https://drive.google.com/open?id=1HXMnIScMFQfoWlImcGHdy60pHr8ra_Ix" TargetMode="External"/><Relationship Id="rId2" Type="http://schemas.openxmlformats.org/officeDocument/2006/relationships/hyperlink" Target="https://drive.google.com/open?id=14fBPwMyKlIcut6umZEBAiCgwY59BTDuS" TargetMode="External"/><Relationship Id="rId29" Type="http://schemas.openxmlformats.org/officeDocument/2006/relationships/hyperlink" Target="https://drive.google.com/open?id=1tjZi2HgMhAFu66B1kYlw_spkH3scVTe5" TargetMode="External"/><Relationship Id="rId255" Type="http://schemas.openxmlformats.org/officeDocument/2006/relationships/hyperlink" Target="https://drive.google.com/open?id=10Y1xtbk3n5bjfwTnfc8CfH4BSW6XRg2B" TargetMode="External"/><Relationship Id="rId276" Type="http://schemas.openxmlformats.org/officeDocument/2006/relationships/hyperlink" Target="https://drive.google.com/open?id=1F-uDxkQuz16KCLnq3-0i-5NUSUmvWG88" TargetMode="External"/><Relationship Id="rId40" Type="http://schemas.openxmlformats.org/officeDocument/2006/relationships/hyperlink" Target="https://drive.google.com/open?id=1xzUiCwwIkGaYfwcO9h0vBm6AN_tVKCCc" TargetMode="External"/><Relationship Id="rId115" Type="http://schemas.openxmlformats.org/officeDocument/2006/relationships/hyperlink" Target="https://drive.google.com/open?id=17j25-Wg1iDmKstm45ziiy-G1rcocSL-d" TargetMode="External"/><Relationship Id="rId136" Type="http://schemas.openxmlformats.org/officeDocument/2006/relationships/hyperlink" Target="https://drive.google.com/open?id=1IYMoTAE2nZccypzqtt-I7mfS7KtemnXq" TargetMode="External"/><Relationship Id="rId157" Type="http://schemas.openxmlformats.org/officeDocument/2006/relationships/hyperlink" Target="https://drive.google.com/open?id=17b8LP1KpQXt0IISnefJXF5Ga67oNBiA7" TargetMode="External"/><Relationship Id="rId178" Type="http://schemas.openxmlformats.org/officeDocument/2006/relationships/hyperlink" Target="https://drive.google.com/open?id=1ZeeoX1kp_o3W0f25PXutp2hSxdoUAQV2" TargetMode="External"/><Relationship Id="rId61" Type="http://schemas.openxmlformats.org/officeDocument/2006/relationships/hyperlink" Target="https://drive.google.com/open?id=1n59BzEGZWU8qRhHJIL7JjvqIBiMaQKSo" TargetMode="External"/><Relationship Id="rId82" Type="http://schemas.openxmlformats.org/officeDocument/2006/relationships/hyperlink" Target="https://drive.google.com/open?id=1tEoxTh3ml3eDbMAjvGHLvFYTG30WR4Xk" TargetMode="External"/><Relationship Id="rId199" Type="http://schemas.openxmlformats.org/officeDocument/2006/relationships/hyperlink" Target="https://drive.google.com/open?id=1GX0L3hQQhK-KSYDT9t6djVNsKF-6agm6" TargetMode="External"/><Relationship Id="rId203" Type="http://schemas.openxmlformats.org/officeDocument/2006/relationships/hyperlink" Target="https://drive.google.com/open?id=1JhalIcOnGiwySXLCPWXG5Z5MFXrVYQ0j" TargetMode="External"/><Relationship Id="rId19" Type="http://schemas.openxmlformats.org/officeDocument/2006/relationships/hyperlink" Target="https://drive.google.com/open?id=1r-oflYql2aDq1jNOVeGSMK75y23adjbI" TargetMode="External"/><Relationship Id="rId224" Type="http://schemas.openxmlformats.org/officeDocument/2006/relationships/hyperlink" Target="https://drive.google.com/open?id=1CKIIli_0mfE-PFvWRnrnNlHmuGSzOwS1" TargetMode="External"/><Relationship Id="rId245" Type="http://schemas.openxmlformats.org/officeDocument/2006/relationships/hyperlink" Target="https://drive.google.com/open?id=1q-67nOsQpX0X9zDJYbrhmQEydCVWQmGZ" TargetMode="External"/><Relationship Id="rId266" Type="http://schemas.openxmlformats.org/officeDocument/2006/relationships/hyperlink" Target="https://drive.google.com/open?id=1NkWO6flpFRcWgtaM52gR1bGv03RumhfK" TargetMode="External"/><Relationship Id="rId30" Type="http://schemas.openxmlformats.org/officeDocument/2006/relationships/hyperlink" Target="https://drive.google.com/open?id=1d9D6wVtvdjybQ3YqafaHb-_wy7xeogx7" TargetMode="External"/><Relationship Id="rId105" Type="http://schemas.openxmlformats.org/officeDocument/2006/relationships/hyperlink" Target="https://drive.google.com/open?id=1c-R9Tc3AMwZTLDffUYN3P8HhF6ka5NPQ" TargetMode="External"/><Relationship Id="rId126" Type="http://schemas.openxmlformats.org/officeDocument/2006/relationships/hyperlink" Target="https://drive.google.com/open?id=1Jx4h0BHvNJVU_boS4aoUXvz2D9rW0mGZ" TargetMode="External"/><Relationship Id="rId147" Type="http://schemas.openxmlformats.org/officeDocument/2006/relationships/hyperlink" Target="https://drive.google.com/open?id=1r7xkb08blG1VllzW0jv-kxiXh0dfSFSA" TargetMode="External"/><Relationship Id="rId168" Type="http://schemas.openxmlformats.org/officeDocument/2006/relationships/hyperlink" Target="https://drive.google.com/open?id=1YsFY6TLh71H14KwFgRQOS8vJiXFjdiI8" TargetMode="External"/><Relationship Id="rId51" Type="http://schemas.openxmlformats.org/officeDocument/2006/relationships/hyperlink" Target="https://drive.google.com/open?id=1O7u37vtn16gjXeYsNkPsNMIKLMiw2xrm" TargetMode="External"/><Relationship Id="rId72" Type="http://schemas.openxmlformats.org/officeDocument/2006/relationships/hyperlink" Target="https://drive.google.com/open?id=1Axiv85gNnwJvEFFbw9n46q2iOEqI8Zlh" TargetMode="External"/><Relationship Id="rId93" Type="http://schemas.openxmlformats.org/officeDocument/2006/relationships/hyperlink" Target="https://drive.google.com/open?id=1ZJBO5xj3G2PT7cR2UCDB9vf9cRscKMS9" TargetMode="External"/><Relationship Id="rId189" Type="http://schemas.openxmlformats.org/officeDocument/2006/relationships/hyperlink" Target="https://drive.google.com/open?id=1ttjycPZWeO-wmcriV1wYtUSkYC6Iymio" TargetMode="External"/><Relationship Id="rId3" Type="http://schemas.openxmlformats.org/officeDocument/2006/relationships/hyperlink" Target="https://drive.google.com/open?id=12LzUt1oKBXX_eZrsh8BITzbzqaZrVM8g" TargetMode="External"/><Relationship Id="rId214" Type="http://schemas.openxmlformats.org/officeDocument/2006/relationships/hyperlink" Target="https://drive.google.com/open?id=1JKJ6ShtVebzw6wFN4sQnfq4I01-Y1VPx" TargetMode="External"/><Relationship Id="rId235" Type="http://schemas.openxmlformats.org/officeDocument/2006/relationships/hyperlink" Target="https://drive.google.com/open?id=1eZcf2MsFbJjrD0NLNKLCEHip2IdL1iRP" TargetMode="External"/><Relationship Id="rId256" Type="http://schemas.openxmlformats.org/officeDocument/2006/relationships/hyperlink" Target="https://drive.google.com/open?id=1xYqwf-tOTfk2SepjbC-w_6OILvtIb5He" TargetMode="External"/><Relationship Id="rId277" Type="http://schemas.openxmlformats.org/officeDocument/2006/relationships/hyperlink" Target="https://drive.google.com/open?id=1yWxdusD298rjLmZuI2h8Tok9GPDK-Pgj" TargetMode="External"/><Relationship Id="rId116" Type="http://schemas.openxmlformats.org/officeDocument/2006/relationships/hyperlink" Target="https://drive.google.com/open?id=1G0F_v-Qz9M0uVfn4rQNuGrV-rKIknJmM" TargetMode="External"/><Relationship Id="rId137" Type="http://schemas.openxmlformats.org/officeDocument/2006/relationships/hyperlink" Target="https://drive.google.com/open?id=1roPm-ifvDD3-MEf6IQzw5oCmIYUfRAvU" TargetMode="External"/><Relationship Id="rId158" Type="http://schemas.openxmlformats.org/officeDocument/2006/relationships/hyperlink" Target="https://drive.google.com/open?id=1-S51ZcMHkHnMT5lO6aeJJtMUIErDcl_f" TargetMode="External"/><Relationship Id="rId20" Type="http://schemas.openxmlformats.org/officeDocument/2006/relationships/hyperlink" Target="https://drive.google.com/open?id=1fR-yR93yhIOMmdx8U029wEIOQnUEh_XlyGlU-Y8rnJw" TargetMode="External"/><Relationship Id="rId41" Type="http://schemas.openxmlformats.org/officeDocument/2006/relationships/hyperlink" Target="https://drive.google.com/open?id=1xF9VwNdQkIjFTK37ZaNcTPPKrZblXKh3" TargetMode="External"/><Relationship Id="rId62" Type="http://schemas.openxmlformats.org/officeDocument/2006/relationships/hyperlink" Target="https://drive.google.com/open?id=1FD-c-NUi3Ag6orX5UJgF33YumgTfF-wW" TargetMode="External"/><Relationship Id="rId83" Type="http://schemas.openxmlformats.org/officeDocument/2006/relationships/hyperlink" Target="https://drive.google.com/open?id=1_hvny773Np7XySVWt9WpvwP24ONc1Dny" TargetMode="External"/><Relationship Id="rId179" Type="http://schemas.openxmlformats.org/officeDocument/2006/relationships/hyperlink" Target="https://drive.google.com/open?id=14Y_8hIC60rGjK4UASJK9y-Js1pB5Zywq" TargetMode="External"/><Relationship Id="rId190" Type="http://schemas.openxmlformats.org/officeDocument/2006/relationships/hyperlink" Target="https://drive.google.com/open?id=17yvtCzv8589HDw4HDddIOCmSpDvBSiXV" TargetMode="External"/><Relationship Id="rId204" Type="http://schemas.openxmlformats.org/officeDocument/2006/relationships/hyperlink" Target="https://drive.google.com/open?id=1k-ot9SEy_G9y4hRQTYp4-Eux_5UQgkMa" TargetMode="External"/><Relationship Id="rId225" Type="http://schemas.openxmlformats.org/officeDocument/2006/relationships/hyperlink" Target="https://drive.google.com/open?id=1gq_-KFs3hCa6QF4JLaMtJiPhWgJIPgWR" TargetMode="External"/><Relationship Id="rId246" Type="http://schemas.openxmlformats.org/officeDocument/2006/relationships/hyperlink" Target="https://drive.google.com/open?id=1FCvKTm9Em0DPZzwiIA6TAhZ7L1GetiVJ" TargetMode="External"/><Relationship Id="rId267" Type="http://schemas.openxmlformats.org/officeDocument/2006/relationships/hyperlink" Target="https://drive.google.com/open?id=1r_LKYQTYBMdTYnZfTilIA11aDHHX8eeW" TargetMode="External"/><Relationship Id="rId106" Type="http://schemas.openxmlformats.org/officeDocument/2006/relationships/hyperlink" Target="https://drive.google.com/open?id=11b5HnQh633A7twDB7oR_vNf6aD5baspv" TargetMode="External"/><Relationship Id="rId127" Type="http://schemas.openxmlformats.org/officeDocument/2006/relationships/hyperlink" Target="https://drive.google.com/open?id=1Ti1ALXH517avSri0B2-165aRyxSe4WSD" TargetMode="External"/><Relationship Id="rId10" Type="http://schemas.openxmlformats.org/officeDocument/2006/relationships/hyperlink" Target="https://drive.google.com/open?id=1Z-zqSWn6FVLIk0tfxLsTL9JtQsKtNznx" TargetMode="External"/><Relationship Id="rId31" Type="http://schemas.openxmlformats.org/officeDocument/2006/relationships/hyperlink" Target="https://drive.google.com/open?id=13XtZlSXkpJT4L05EU89nctUqUCyRntYO" TargetMode="External"/><Relationship Id="rId52" Type="http://schemas.openxmlformats.org/officeDocument/2006/relationships/hyperlink" Target="https://drive.google.com/open?id=1RY1mttYYPNEmm0l56X7f1rap475--h-f" TargetMode="External"/><Relationship Id="rId73" Type="http://schemas.openxmlformats.org/officeDocument/2006/relationships/hyperlink" Target="https://drive.google.com/open?id=1i1XEtSuwr7j-f8rN4DzS-yvD8Fj3wjZ9" TargetMode="External"/><Relationship Id="rId94" Type="http://schemas.openxmlformats.org/officeDocument/2006/relationships/hyperlink" Target="https://drive.google.com/open?id=1SsB-f_AwN6ao8pshgeTAxPLdvB9CEqOh" TargetMode="External"/><Relationship Id="rId148" Type="http://schemas.openxmlformats.org/officeDocument/2006/relationships/hyperlink" Target="https://drive.google.com/open?id=1B_AUEs02jy-ispej8Sv_JdCj-6e99pEj" TargetMode="External"/><Relationship Id="rId169" Type="http://schemas.openxmlformats.org/officeDocument/2006/relationships/hyperlink" Target="https://drive.google.com/open?id=17lNYjkDWnol42GWBmj5YC-u0HAsQxqvd" TargetMode="External"/><Relationship Id="rId4" Type="http://schemas.openxmlformats.org/officeDocument/2006/relationships/hyperlink" Target="https://drive.google.com/open?id=1QzPNUc9cEHVsNv6o53pM4cxFmtgebsNK" TargetMode="External"/><Relationship Id="rId180" Type="http://schemas.openxmlformats.org/officeDocument/2006/relationships/hyperlink" Target="https://drive.google.com/open?id=1dgmzwvjCH-H1rninG086g6DP4_PSPH3T" TargetMode="External"/><Relationship Id="rId215" Type="http://schemas.openxmlformats.org/officeDocument/2006/relationships/hyperlink" Target="https://drive.google.com/open?id=1OUjt9iS4l7VWd7FlUIZKEK2_aaybc-O0" TargetMode="External"/><Relationship Id="rId236" Type="http://schemas.openxmlformats.org/officeDocument/2006/relationships/hyperlink" Target="https://drive.google.com/open?id=1guaWmejs0kfcBeaIS5fZagVNQ8zToB32" TargetMode="External"/><Relationship Id="rId257" Type="http://schemas.openxmlformats.org/officeDocument/2006/relationships/hyperlink" Target="https://drive.google.com/open?id=11WJvOcmh1K0v656LOlI8i85FR9oZUQ9I" TargetMode="External"/><Relationship Id="rId278" Type="http://schemas.openxmlformats.org/officeDocument/2006/relationships/hyperlink" Target="https://drive.google.com/open?id=1gzyNo1PdOVhYpdsmL3s25HWWOQNvgY_4" TargetMode="External"/><Relationship Id="rId42" Type="http://schemas.openxmlformats.org/officeDocument/2006/relationships/hyperlink" Target="https://drive.google.com/open?id=1RHlyRgHA8v5BintTgOIiId4BdmAoibPR" TargetMode="External"/><Relationship Id="rId84" Type="http://schemas.openxmlformats.org/officeDocument/2006/relationships/hyperlink" Target="https://drive.google.com/open?id=1NGIs4l2FGgGC4fwGeooUv-044G5WBvUT" TargetMode="External"/><Relationship Id="rId138" Type="http://schemas.openxmlformats.org/officeDocument/2006/relationships/hyperlink" Target="https://drive.google.com/open?id=1379XX35GDkGAYsoK5VRu0acrLL6wyH0l" TargetMode="External"/><Relationship Id="rId191" Type="http://schemas.openxmlformats.org/officeDocument/2006/relationships/hyperlink" Target="https://drive.google.com/open?id=178hO92jlvbEyl9VuUeEZwehoHlPtDdKp" TargetMode="External"/><Relationship Id="rId205" Type="http://schemas.openxmlformats.org/officeDocument/2006/relationships/hyperlink" Target="https://drive.google.com/open?id=1T0l02ZAAptvu1WkFGOU0oXjkvNYcy5yI" TargetMode="External"/><Relationship Id="rId247" Type="http://schemas.openxmlformats.org/officeDocument/2006/relationships/hyperlink" Target="https://drive.google.com/open?id=1OK5ldx3T0Bl6YElSYi1R3Oz-r5rYxx1m" TargetMode="External"/><Relationship Id="rId107" Type="http://schemas.openxmlformats.org/officeDocument/2006/relationships/hyperlink" Target="https://drive.google.com/open?id=1GgbyCVO5vWRfdX1ylhwwwKOIgvj-iZok" TargetMode="External"/><Relationship Id="rId11" Type="http://schemas.openxmlformats.org/officeDocument/2006/relationships/hyperlink" Target="https://drive.google.com/open?id=1ZIo_9CSnJzaff9-YXMtIn2YIRz4jW-0h" TargetMode="External"/><Relationship Id="rId53" Type="http://schemas.openxmlformats.org/officeDocument/2006/relationships/hyperlink" Target="https://drive.google.com/open?id=1EYWY2ZFkh9EdDcC7WXKmJ4rrtObP876U" TargetMode="External"/><Relationship Id="rId149" Type="http://schemas.openxmlformats.org/officeDocument/2006/relationships/hyperlink" Target="https://drive.google.com/open?id=1eDXuVZ6IiatE0spi7Lgo6GDJr0rp5H2S" TargetMode="External"/><Relationship Id="rId95" Type="http://schemas.openxmlformats.org/officeDocument/2006/relationships/hyperlink" Target="https://drive.google.com/open?id=1FxhUcsV6IVsIYlyC-JIqO_73-IYG5S5F" TargetMode="External"/><Relationship Id="rId160" Type="http://schemas.openxmlformats.org/officeDocument/2006/relationships/hyperlink" Target="https://drive.google.com/open?id=1PJFJWMY4Pv2eInliDfYl1jZ7CdQC1a-q" TargetMode="External"/><Relationship Id="rId216" Type="http://schemas.openxmlformats.org/officeDocument/2006/relationships/hyperlink" Target="https://drive.google.com/open?id=1OlfDi9Po6pno75CeBej59NFUAGXCfK1X"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3"/>
  <sheetViews>
    <sheetView workbookViewId="0">
      <pane ySplit="1" topLeftCell="A2" activePane="bottomLeft" state="frozen"/>
      <selection pane="bottomLeft" activeCell="A3" sqref="A3"/>
    </sheetView>
  </sheetViews>
  <sheetFormatPr defaultColWidth="12.5703125" defaultRowHeight="15.75" customHeight="1" x14ac:dyDescent="0.2"/>
  <cols>
    <col min="1" max="1" width="22.7109375" bestFit="1" customWidth="1"/>
    <col min="2" max="2" width="19.42578125" style="18" customWidth="1"/>
    <col min="3" max="3" width="10" bestFit="1" customWidth="1"/>
    <col min="4" max="4" width="8.42578125" bestFit="1" customWidth="1"/>
    <col min="5" max="5" width="32.28515625" bestFit="1" customWidth="1"/>
    <col min="6" max="6" width="37.7109375" bestFit="1" customWidth="1"/>
    <col min="7" max="7" width="54.42578125" bestFit="1" customWidth="1"/>
    <col min="8" max="8" width="180.42578125" bestFit="1" customWidth="1"/>
    <col min="9" max="9" width="29.140625" bestFit="1" customWidth="1"/>
    <col min="10" max="10" width="255.7109375" bestFit="1" customWidth="1"/>
    <col min="11" max="11" width="52.140625" bestFit="1" customWidth="1"/>
    <col min="12" max="13" width="255.7109375" bestFit="1" customWidth="1"/>
    <col min="14" max="14" width="53.85546875" bestFit="1" customWidth="1"/>
    <col min="15" max="15" width="82.28515625" bestFit="1" customWidth="1"/>
    <col min="16" max="16" width="73.5703125" bestFit="1" customWidth="1"/>
    <col min="17" max="17" width="255.7109375" bestFit="1" customWidth="1"/>
    <col min="18" max="18" width="28.7109375" bestFit="1" customWidth="1"/>
    <col min="19" max="19" width="80.85546875" bestFit="1" customWidth="1"/>
    <col min="20" max="20" width="82.28515625" bestFit="1" customWidth="1"/>
    <col min="21" max="21" width="48" bestFit="1" customWidth="1"/>
    <col min="22" max="22" width="30.28515625" bestFit="1" customWidth="1"/>
    <col min="23" max="23" width="49.85546875" bestFit="1" customWidth="1"/>
    <col min="24" max="24" width="78.28515625" bestFit="1" customWidth="1"/>
    <col min="25" max="25" width="56.85546875" bestFit="1" customWidth="1"/>
    <col min="26" max="31" width="18.85546875" customWidth="1"/>
  </cols>
  <sheetData>
    <row r="1" spans="1:25" ht="22.5" customHeight="1" x14ac:dyDescent="0.2">
      <c r="A1" s="8" t="s">
        <v>753</v>
      </c>
      <c r="B1" s="15" t="s">
        <v>0</v>
      </c>
      <c r="C1" s="8" t="s">
        <v>1</v>
      </c>
      <c r="D1" s="8" t="s">
        <v>2</v>
      </c>
      <c r="E1" s="8" t="s">
        <v>3</v>
      </c>
      <c r="F1" s="8" t="s">
        <v>4</v>
      </c>
      <c r="G1" s="8" t="s">
        <v>5</v>
      </c>
      <c r="H1" s="8" t="s">
        <v>6</v>
      </c>
      <c r="I1" s="8" t="s">
        <v>7</v>
      </c>
      <c r="J1" s="8" t="s">
        <v>8</v>
      </c>
      <c r="K1" s="8" t="s">
        <v>9</v>
      </c>
      <c r="L1" s="8" t="s">
        <v>10</v>
      </c>
      <c r="M1" s="8" t="s">
        <v>11</v>
      </c>
      <c r="N1" s="8" t="s">
        <v>12</v>
      </c>
      <c r="O1" s="8" t="s">
        <v>13</v>
      </c>
      <c r="P1" s="8" t="s">
        <v>14</v>
      </c>
      <c r="Q1" s="8" t="s">
        <v>15</v>
      </c>
      <c r="R1" s="8" t="s">
        <v>16</v>
      </c>
      <c r="S1" s="8" t="s">
        <v>17</v>
      </c>
      <c r="T1" s="8" t="s">
        <v>18</v>
      </c>
      <c r="U1" s="8" t="s">
        <v>19</v>
      </c>
      <c r="V1" s="8" t="s">
        <v>20</v>
      </c>
      <c r="W1" s="8" t="s">
        <v>21</v>
      </c>
      <c r="X1" s="9" t="s">
        <v>705</v>
      </c>
      <c r="Y1" s="8" t="s">
        <v>706</v>
      </c>
    </row>
    <row r="2" spans="1:25" ht="22.5" customHeight="1" x14ac:dyDescent="0.2">
      <c r="A2" s="1">
        <v>45687.737326388888</v>
      </c>
      <c r="B2" s="16" t="s">
        <v>22</v>
      </c>
      <c r="C2" s="2" t="s">
        <v>23</v>
      </c>
      <c r="D2" s="2" t="s">
        <v>24</v>
      </c>
      <c r="E2" s="2" t="s">
        <v>721</v>
      </c>
      <c r="F2" s="2" t="s">
        <v>25</v>
      </c>
      <c r="G2" s="2" t="s">
        <v>26</v>
      </c>
      <c r="H2" s="2" t="s">
        <v>27</v>
      </c>
      <c r="I2" s="2" t="s">
        <v>28</v>
      </c>
      <c r="J2" s="3" t="s">
        <v>29</v>
      </c>
      <c r="K2" s="2" t="s">
        <v>28</v>
      </c>
      <c r="L2" s="3" t="s">
        <v>30</v>
      </c>
      <c r="M2" s="3" t="s">
        <v>31</v>
      </c>
      <c r="N2" s="2" t="s">
        <v>32</v>
      </c>
      <c r="O2" s="2" t="s">
        <v>33</v>
      </c>
      <c r="P2" s="2" t="s">
        <v>28</v>
      </c>
      <c r="Q2" s="2" t="s">
        <v>34</v>
      </c>
      <c r="R2" s="2" t="s">
        <v>28</v>
      </c>
      <c r="S2" s="2">
        <v>2</v>
      </c>
      <c r="T2" s="3" t="s">
        <v>35</v>
      </c>
      <c r="V2" s="2" t="s">
        <v>28</v>
      </c>
      <c r="W2" s="2" t="s">
        <v>36</v>
      </c>
      <c r="X2" s="3" t="s">
        <v>37</v>
      </c>
    </row>
    <row r="3" spans="1:25" ht="22.5" customHeight="1" x14ac:dyDescent="0.2">
      <c r="A3" s="4">
        <v>45689.872407129631</v>
      </c>
      <c r="B3" s="17" t="s">
        <v>38</v>
      </c>
      <c r="C3" s="5" t="s">
        <v>23</v>
      </c>
      <c r="D3" s="5" t="s">
        <v>39</v>
      </c>
      <c r="E3" s="5" t="s">
        <v>722</v>
      </c>
      <c r="F3" s="5" t="s">
        <v>40</v>
      </c>
      <c r="G3" s="5" t="s">
        <v>41</v>
      </c>
      <c r="H3" s="5" t="s">
        <v>42</v>
      </c>
      <c r="I3" s="5" t="s">
        <v>28</v>
      </c>
      <c r="J3" s="6" t="s">
        <v>43</v>
      </c>
      <c r="K3" s="5" t="s">
        <v>28</v>
      </c>
      <c r="L3" s="6" t="s">
        <v>44</v>
      </c>
      <c r="M3" s="6" t="s">
        <v>45</v>
      </c>
      <c r="N3" s="5" t="s">
        <v>28</v>
      </c>
      <c r="P3" s="5" t="s">
        <v>28</v>
      </c>
      <c r="Q3" s="5" t="s">
        <v>46</v>
      </c>
      <c r="R3" s="5" t="s">
        <v>28</v>
      </c>
      <c r="S3" s="5">
        <v>2</v>
      </c>
      <c r="T3" s="6" t="s">
        <v>47</v>
      </c>
      <c r="V3" s="5" t="s">
        <v>28</v>
      </c>
      <c r="W3" s="5" t="s">
        <v>48</v>
      </c>
      <c r="X3" s="6" t="s">
        <v>49</v>
      </c>
    </row>
    <row r="4" spans="1:25" ht="22.5" customHeight="1" x14ac:dyDescent="0.2">
      <c r="A4" s="1">
        <v>45689.88478743055</v>
      </c>
      <c r="B4" s="16" t="s">
        <v>50</v>
      </c>
      <c r="C4" s="2" t="s">
        <v>23</v>
      </c>
      <c r="D4" s="2" t="s">
        <v>39</v>
      </c>
      <c r="E4" s="2" t="s">
        <v>723</v>
      </c>
      <c r="F4" s="2" t="s">
        <v>25</v>
      </c>
      <c r="G4" s="2" t="s">
        <v>51</v>
      </c>
      <c r="H4" s="2" t="s">
        <v>52</v>
      </c>
      <c r="I4" s="2" t="s">
        <v>28</v>
      </c>
      <c r="J4" s="2" t="s">
        <v>53</v>
      </c>
      <c r="K4" s="2" t="s">
        <v>28</v>
      </c>
      <c r="L4" s="3" t="s">
        <v>54</v>
      </c>
      <c r="M4" s="3" t="s">
        <v>55</v>
      </c>
      <c r="N4" s="2" t="s">
        <v>28</v>
      </c>
      <c r="P4" s="2" t="s">
        <v>28</v>
      </c>
      <c r="Q4" s="2" t="s">
        <v>56</v>
      </c>
      <c r="R4" s="2" t="s">
        <v>28</v>
      </c>
      <c r="S4" s="2" t="s">
        <v>57</v>
      </c>
      <c r="T4" s="3" t="s">
        <v>58</v>
      </c>
      <c r="V4" s="2" t="s">
        <v>28</v>
      </c>
      <c r="W4" s="2" t="s">
        <v>59</v>
      </c>
      <c r="X4" s="3" t="s">
        <v>60</v>
      </c>
      <c r="Y4" s="2" t="s">
        <v>61</v>
      </c>
    </row>
    <row r="5" spans="1:25" ht="22.5" customHeight="1" x14ac:dyDescent="0.2">
      <c r="A5" s="4">
        <v>45689.921767719905</v>
      </c>
      <c r="B5" s="17" t="s">
        <v>62</v>
      </c>
      <c r="C5" s="5" t="s">
        <v>63</v>
      </c>
      <c r="D5" s="5" t="s">
        <v>64</v>
      </c>
      <c r="E5" s="2" t="s">
        <v>748</v>
      </c>
      <c r="F5" s="5" t="s">
        <v>65</v>
      </c>
      <c r="G5" s="5">
        <v>5</v>
      </c>
      <c r="H5" s="5" t="s">
        <v>66</v>
      </c>
      <c r="I5" s="5" t="s">
        <v>28</v>
      </c>
      <c r="J5" s="6" t="s">
        <v>67</v>
      </c>
      <c r="K5" s="5" t="s">
        <v>28</v>
      </c>
      <c r="L5" s="6" t="s">
        <v>68</v>
      </c>
      <c r="M5" s="6" t="s">
        <v>69</v>
      </c>
      <c r="N5" s="5" t="s">
        <v>32</v>
      </c>
      <c r="P5" s="5" t="s">
        <v>28</v>
      </c>
      <c r="Q5" s="5" t="s">
        <v>70</v>
      </c>
      <c r="R5" s="5" t="s">
        <v>28</v>
      </c>
      <c r="S5" s="5">
        <v>2</v>
      </c>
      <c r="T5" s="6" t="s">
        <v>71</v>
      </c>
      <c r="V5" s="5" t="s">
        <v>32</v>
      </c>
      <c r="W5" s="5" t="s">
        <v>72</v>
      </c>
      <c r="X5" s="6" t="s">
        <v>73</v>
      </c>
    </row>
    <row r="6" spans="1:25" ht="22.5" customHeight="1" x14ac:dyDescent="0.2">
      <c r="A6" s="1">
        <v>45689.933388634265</v>
      </c>
      <c r="B6" s="16" t="s">
        <v>74</v>
      </c>
      <c r="C6" s="2" t="s">
        <v>23</v>
      </c>
      <c r="D6" s="2" t="s">
        <v>39</v>
      </c>
      <c r="E6" s="2" t="s">
        <v>724</v>
      </c>
      <c r="F6" s="2" t="s">
        <v>75</v>
      </c>
      <c r="G6" s="2" t="s">
        <v>76</v>
      </c>
      <c r="H6" s="2" t="s">
        <v>77</v>
      </c>
      <c r="I6" s="2" t="s">
        <v>28</v>
      </c>
      <c r="J6" s="3" t="s">
        <v>78</v>
      </c>
      <c r="K6" s="2" t="s">
        <v>28</v>
      </c>
      <c r="L6" s="3" t="s">
        <v>79</v>
      </c>
      <c r="M6" s="3" t="s">
        <v>80</v>
      </c>
      <c r="N6" s="2" t="s">
        <v>28</v>
      </c>
      <c r="P6" s="2" t="s">
        <v>28</v>
      </c>
      <c r="Q6" s="2" t="s">
        <v>81</v>
      </c>
      <c r="R6" s="2" t="s">
        <v>28</v>
      </c>
      <c r="S6" s="2" t="s">
        <v>82</v>
      </c>
      <c r="T6" s="3" t="s">
        <v>83</v>
      </c>
      <c r="U6" s="2" t="s">
        <v>84</v>
      </c>
      <c r="V6" s="2" t="s">
        <v>28</v>
      </c>
      <c r="W6" s="2" t="s">
        <v>85</v>
      </c>
      <c r="X6" s="3" t="s">
        <v>86</v>
      </c>
      <c r="Y6" s="2" t="s">
        <v>87</v>
      </c>
    </row>
    <row r="7" spans="1:25" ht="22.5" customHeight="1" x14ac:dyDescent="0.2">
      <c r="A7" s="4">
        <v>45690.087175185181</v>
      </c>
      <c r="B7" s="17" t="s">
        <v>88</v>
      </c>
      <c r="C7" s="5" t="s">
        <v>63</v>
      </c>
      <c r="D7" s="5" t="s">
        <v>64</v>
      </c>
      <c r="E7" s="5" t="s">
        <v>725</v>
      </c>
      <c r="F7" s="5" t="s">
        <v>89</v>
      </c>
      <c r="G7" s="5">
        <v>4</v>
      </c>
      <c r="H7" s="5" t="s">
        <v>90</v>
      </c>
      <c r="I7" s="5" t="s">
        <v>28</v>
      </c>
      <c r="J7" s="6" t="s">
        <v>91</v>
      </c>
      <c r="K7" s="5" t="s">
        <v>28</v>
      </c>
      <c r="L7" s="6" t="s">
        <v>92</v>
      </c>
      <c r="M7" s="6" t="s">
        <v>93</v>
      </c>
      <c r="N7" s="5" t="s">
        <v>28</v>
      </c>
      <c r="P7" s="5" t="s">
        <v>28</v>
      </c>
      <c r="Q7" s="5" t="s">
        <v>94</v>
      </c>
      <c r="R7" s="5" t="s">
        <v>28</v>
      </c>
      <c r="S7" s="5">
        <v>0</v>
      </c>
      <c r="T7" s="6" t="s">
        <v>95</v>
      </c>
      <c r="V7" s="5" t="s">
        <v>28</v>
      </c>
      <c r="W7" s="5" t="s">
        <v>96</v>
      </c>
      <c r="X7" s="6" t="s">
        <v>97</v>
      </c>
    </row>
    <row r="8" spans="1:25" ht="22.5" customHeight="1" x14ac:dyDescent="0.2">
      <c r="A8" s="1">
        <v>45690.109205625005</v>
      </c>
      <c r="B8" s="16" t="s">
        <v>88</v>
      </c>
      <c r="C8" s="2" t="s">
        <v>23</v>
      </c>
      <c r="D8" s="2" t="s">
        <v>98</v>
      </c>
      <c r="E8" s="2" t="s">
        <v>725</v>
      </c>
      <c r="F8" s="2" t="s">
        <v>75</v>
      </c>
      <c r="G8" s="2">
        <v>0</v>
      </c>
      <c r="H8" s="2" t="s">
        <v>94</v>
      </c>
      <c r="I8" s="2" t="s">
        <v>28</v>
      </c>
      <c r="J8" s="3" t="s">
        <v>99</v>
      </c>
      <c r="K8" s="2" t="s">
        <v>28</v>
      </c>
      <c r="L8" s="3" t="s">
        <v>100</v>
      </c>
      <c r="M8" s="3" t="s">
        <v>101</v>
      </c>
      <c r="N8" s="2" t="s">
        <v>28</v>
      </c>
      <c r="P8" s="2" t="s">
        <v>28</v>
      </c>
      <c r="Q8" s="2" t="s">
        <v>94</v>
      </c>
      <c r="R8" s="2" t="s">
        <v>28</v>
      </c>
      <c r="T8" s="3" t="s">
        <v>102</v>
      </c>
      <c r="V8" s="2" t="s">
        <v>28</v>
      </c>
      <c r="X8" s="3" t="s">
        <v>103</v>
      </c>
    </row>
    <row r="9" spans="1:25" ht="22.5" customHeight="1" x14ac:dyDescent="0.2">
      <c r="A9" s="4">
        <v>45690.585172604166</v>
      </c>
      <c r="B9" s="17" t="s">
        <v>104</v>
      </c>
      <c r="C9" s="5" t="s">
        <v>63</v>
      </c>
      <c r="D9" s="5" t="s">
        <v>64</v>
      </c>
      <c r="E9" s="5" t="s">
        <v>726</v>
      </c>
      <c r="F9" s="5" t="s">
        <v>65</v>
      </c>
      <c r="G9" s="5">
        <v>4</v>
      </c>
      <c r="H9" s="5" t="s">
        <v>105</v>
      </c>
      <c r="I9" s="5" t="s">
        <v>28</v>
      </c>
      <c r="J9" s="6" t="s">
        <v>106</v>
      </c>
      <c r="K9" s="5" t="s">
        <v>28</v>
      </c>
      <c r="L9" s="6" t="s">
        <v>107</v>
      </c>
      <c r="M9" s="6" t="s">
        <v>108</v>
      </c>
      <c r="N9" s="5" t="s">
        <v>32</v>
      </c>
      <c r="O9" s="5" t="s">
        <v>109</v>
      </c>
      <c r="P9" s="5" t="s">
        <v>28</v>
      </c>
      <c r="Q9" s="5" t="s">
        <v>110</v>
      </c>
      <c r="R9" s="5" t="s">
        <v>32</v>
      </c>
      <c r="S9" s="5" t="s">
        <v>111</v>
      </c>
      <c r="T9" s="6" t="s">
        <v>112</v>
      </c>
      <c r="U9" s="5" t="s">
        <v>113</v>
      </c>
      <c r="V9" s="5" t="s">
        <v>32</v>
      </c>
      <c r="W9" s="5" t="s">
        <v>114</v>
      </c>
      <c r="X9" s="6" t="s">
        <v>115</v>
      </c>
      <c r="Y9" s="5" t="s">
        <v>116</v>
      </c>
    </row>
    <row r="10" spans="1:25" ht="21" customHeight="1" x14ac:dyDescent="0.2">
      <c r="A10" s="1">
        <v>45698.410660937501</v>
      </c>
      <c r="B10" s="16" t="s">
        <v>117</v>
      </c>
      <c r="C10" s="2" t="s">
        <v>63</v>
      </c>
      <c r="D10" s="2" t="s">
        <v>64</v>
      </c>
      <c r="E10" s="2" t="s">
        <v>727</v>
      </c>
      <c r="F10" s="2" t="s">
        <v>25</v>
      </c>
      <c r="G10" s="2">
        <v>4</v>
      </c>
      <c r="H10" s="2" t="s">
        <v>118</v>
      </c>
      <c r="I10" s="2" t="s">
        <v>32</v>
      </c>
      <c r="J10" s="2" t="s">
        <v>119</v>
      </c>
      <c r="K10" s="2" t="s">
        <v>28</v>
      </c>
      <c r="L10" s="2" t="s">
        <v>120</v>
      </c>
      <c r="M10" s="3" t="s">
        <v>121</v>
      </c>
      <c r="N10" s="2" t="s">
        <v>32</v>
      </c>
      <c r="O10" s="2" t="s">
        <v>122</v>
      </c>
      <c r="P10" s="2" t="s">
        <v>28</v>
      </c>
      <c r="Q10" s="2" t="s">
        <v>123</v>
      </c>
      <c r="R10" s="2" t="s">
        <v>32</v>
      </c>
      <c r="S10" s="2" t="s">
        <v>85</v>
      </c>
      <c r="T10" s="3" t="s">
        <v>124</v>
      </c>
      <c r="U10" s="2" t="s">
        <v>125</v>
      </c>
      <c r="V10" s="2" t="s">
        <v>32</v>
      </c>
      <c r="W10" s="2" t="s">
        <v>126</v>
      </c>
      <c r="X10" s="3" t="s">
        <v>127</v>
      </c>
    </row>
    <row r="11" spans="1:25" ht="22.5" customHeight="1" x14ac:dyDescent="0.2">
      <c r="A11" s="4">
        <v>45714.584519398151</v>
      </c>
      <c r="B11" s="17" t="s">
        <v>117</v>
      </c>
      <c r="C11" s="5" t="s">
        <v>63</v>
      </c>
      <c r="D11" s="5" t="s">
        <v>24</v>
      </c>
      <c r="E11" s="5" t="s">
        <v>727</v>
      </c>
      <c r="F11" s="5" t="s">
        <v>25</v>
      </c>
      <c r="G11" s="5">
        <v>6</v>
      </c>
      <c r="H11" s="5" t="s">
        <v>94</v>
      </c>
      <c r="I11" s="5" t="s">
        <v>28</v>
      </c>
      <c r="J11" s="5" t="s">
        <v>128</v>
      </c>
      <c r="K11" s="5" t="s">
        <v>28</v>
      </c>
      <c r="L11" s="5" t="s">
        <v>129</v>
      </c>
      <c r="M11" s="5" t="s">
        <v>130</v>
      </c>
      <c r="N11" s="5" t="s">
        <v>32</v>
      </c>
      <c r="O11" s="5" t="s">
        <v>131</v>
      </c>
      <c r="P11" s="5" t="s">
        <v>28</v>
      </c>
      <c r="Q11" s="5" t="s">
        <v>132</v>
      </c>
      <c r="R11" s="5" t="s">
        <v>32</v>
      </c>
      <c r="S11" s="5" t="s">
        <v>85</v>
      </c>
      <c r="T11" s="6" t="s">
        <v>133</v>
      </c>
      <c r="U11" s="5" t="s">
        <v>85</v>
      </c>
      <c r="V11" s="5" t="s">
        <v>32</v>
      </c>
      <c r="W11" s="5" t="s">
        <v>134</v>
      </c>
      <c r="X11" s="6" t="s">
        <v>135</v>
      </c>
    </row>
    <row r="12" spans="1:25" ht="22.5" customHeight="1" x14ac:dyDescent="0.2">
      <c r="A12" s="1">
        <v>45714.62258466435</v>
      </c>
      <c r="B12" s="16" t="s">
        <v>117</v>
      </c>
      <c r="C12" s="2" t="s">
        <v>63</v>
      </c>
      <c r="D12" s="2" t="s">
        <v>98</v>
      </c>
      <c r="E12" s="2" t="s">
        <v>728</v>
      </c>
      <c r="F12" s="2" t="s">
        <v>25</v>
      </c>
      <c r="G12" s="2">
        <v>5</v>
      </c>
      <c r="H12" s="2" t="s">
        <v>136</v>
      </c>
      <c r="I12" s="2" t="s">
        <v>28</v>
      </c>
      <c r="J12" s="2" t="s">
        <v>137</v>
      </c>
      <c r="K12" s="2" t="s">
        <v>28</v>
      </c>
      <c r="L12" s="2" t="s">
        <v>138</v>
      </c>
      <c r="M12" s="3" t="s">
        <v>139</v>
      </c>
      <c r="N12" s="2" t="s">
        <v>32</v>
      </c>
      <c r="O12" s="2" t="s">
        <v>131</v>
      </c>
      <c r="P12" s="2" t="s">
        <v>28</v>
      </c>
      <c r="Q12" s="2" t="s">
        <v>140</v>
      </c>
      <c r="R12" s="2" t="s">
        <v>32</v>
      </c>
      <c r="S12" s="2" t="s">
        <v>85</v>
      </c>
      <c r="T12" s="3" t="s">
        <v>141</v>
      </c>
      <c r="U12" s="2" t="s">
        <v>85</v>
      </c>
      <c r="V12" s="2" t="s">
        <v>32</v>
      </c>
      <c r="W12" s="2" t="s">
        <v>142</v>
      </c>
      <c r="X12" s="3" t="s">
        <v>143</v>
      </c>
      <c r="Y12" s="2" t="s">
        <v>85</v>
      </c>
    </row>
    <row r="13" spans="1:25" ht="22.5" customHeight="1" x14ac:dyDescent="0.2">
      <c r="A13" s="4">
        <v>45716.54093570602</v>
      </c>
      <c r="B13" s="17" t="s">
        <v>144</v>
      </c>
      <c r="C13" s="5" t="s">
        <v>63</v>
      </c>
      <c r="D13" s="5" t="s">
        <v>24</v>
      </c>
      <c r="E13" s="5" t="s">
        <v>729</v>
      </c>
      <c r="F13" s="5" t="s">
        <v>75</v>
      </c>
      <c r="G13" s="5">
        <v>1</v>
      </c>
      <c r="H13" s="5" t="s">
        <v>145</v>
      </c>
      <c r="I13" s="5" t="s">
        <v>32</v>
      </c>
      <c r="J13" s="5" t="s">
        <v>146</v>
      </c>
      <c r="K13" s="5" t="s">
        <v>28</v>
      </c>
      <c r="L13" s="5" t="s">
        <v>147</v>
      </c>
      <c r="M13" s="6" t="s">
        <v>148</v>
      </c>
      <c r="N13" s="5" t="s">
        <v>32</v>
      </c>
      <c r="O13" s="5" t="s">
        <v>149</v>
      </c>
      <c r="P13" s="5" t="s">
        <v>150</v>
      </c>
      <c r="Q13" s="5" t="s">
        <v>151</v>
      </c>
      <c r="R13" s="5" t="s">
        <v>32</v>
      </c>
      <c r="S13" s="5" t="s">
        <v>85</v>
      </c>
      <c r="T13" s="6" t="s">
        <v>152</v>
      </c>
      <c r="U13" s="5" t="s">
        <v>153</v>
      </c>
      <c r="V13" s="5" t="s">
        <v>32</v>
      </c>
      <c r="W13" s="5" t="s">
        <v>154</v>
      </c>
      <c r="X13" s="6" t="s">
        <v>155</v>
      </c>
      <c r="Y13" s="5" t="s">
        <v>156</v>
      </c>
    </row>
    <row r="14" spans="1:25" ht="22.5" customHeight="1" x14ac:dyDescent="0.2">
      <c r="A14" s="1">
        <v>45725.349316817126</v>
      </c>
      <c r="B14" s="16" t="s">
        <v>157</v>
      </c>
      <c r="C14" s="2" t="s">
        <v>158</v>
      </c>
      <c r="D14" s="2" t="s">
        <v>64</v>
      </c>
      <c r="E14" s="2" t="s">
        <v>730</v>
      </c>
      <c r="F14" s="2" t="s">
        <v>89</v>
      </c>
      <c r="G14" s="2">
        <v>3</v>
      </c>
      <c r="H14" s="2" t="s">
        <v>159</v>
      </c>
      <c r="I14" s="2" t="s">
        <v>28</v>
      </c>
      <c r="J14" s="2" t="s">
        <v>160</v>
      </c>
      <c r="K14" s="2" t="s">
        <v>28</v>
      </c>
      <c r="L14" s="2" t="s">
        <v>161</v>
      </c>
      <c r="M14" s="3" t="s">
        <v>162</v>
      </c>
      <c r="N14" s="2" t="s">
        <v>28</v>
      </c>
      <c r="P14" s="2" t="s">
        <v>150</v>
      </c>
      <c r="R14" s="2" t="s">
        <v>32</v>
      </c>
      <c r="S14" s="2" t="s">
        <v>87</v>
      </c>
      <c r="T14" s="3" t="s">
        <v>163</v>
      </c>
      <c r="V14" s="2" t="s">
        <v>32</v>
      </c>
      <c r="W14" s="2" t="s">
        <v>164</v>
      </c>
      <c r="X14" s="3" t="s">
        <v>165</v>
      </c>
    </row>
    <row r="15" spans="1:25" ht="22.5" customHeight="1" x14ac:dyDescent="0.2">
      <c r="A15" s="4">
        <v>45725.367704155091</v>
      </c>
      <c r="B15" s="17" t="s">
        <v>144</v>
      </c>
      <c r="C15" s="5" t="s">
        <v>158</v>
      </c>
      <c r="D15" s="5" t="s">
        <v>64</v>
      </c>
      <c r="E15" s="5" t="s">
        <v>729</v>
      </c>
      <c r="F15" s="5" t="s">
        <v>89</v>
      </c>
      <c r="G15" s="5">
        <v>1</v>
      </c>
      <c r="H15" s="5" t="s">
        <v>28</v>
      </c>
      <c r="I15" s="5" t="s">
        <v>32</v>
      </c>
      <c r="J15" s="5" t="s">
        <v>166</v>
      </c>
      <c r="K15" s="5" t="s">
        <v>28</v>
      </c>
      <c r="L15" s="5" t="s">
        <v>167</v>
      </c>
      <c r="M15" s="6" t="s">
        <v>168</v>
      </c>
      <c r="N15" s="5" t="s">
        <v>32</v>
      </c>
      <c r="O15" s="5" t="s">
        <v>169</v>
      </c>
      <c r="P15" s="5" t="s">
        <v>150</v>
      </c>
      <c r="Q15" s="5" t="s">
        <v>170</v>
      </c>
      <c r="R15" s="5" t="s">
        <v>32</v>
      </c>
      <c r="S15" s="5" t="s">
        <v>85</v>
      </c>
      <c r="T15" s="6" t="s">
        <v>171</v>
      </c>
      <c r="U15" s="5" t="s">
        <v>154</v>
      </c>
      <c r="V15" s="5" t="s">
        <v>32</v>
      </c>
      <c r="W15" s="5" t="s">
        <v>172</v>
      </c>
      <c r="X15" s="6" t="s">
        <v>173</v>
      </c>
      <c r="Y15" s="5" t="s">
        <v>154</v>
      </c>
    </row>
    <row r="16" spans="1:25" ht="22.5" customHeight="1" x14ac:dyDescent="0.2">
      <c r="A16" s="1">
        <v>45725.535071712962</v>
      </c>
      <c r="B16" s="16" t="s">
        <v>38</v>
      </c>
      <c r="C16" s="2" t="s">
        <v>158</v>
      </c>
      <c r="D16" s="2" t="s">
        <v>64</v>
      </c>
      <c r="E16" s="2" t="s">
        <v>722</v>
      </c>
      <c r="F16" s="2" t="s">
        <v>40</v>
      </c>
      <c r="G16" s="2">
        <v>6</v>
      </c>
      <c r="H16" s="2" t="s">
        <v>174</v>
      </c>
      <c r="I16" s="2" t="s">
        <v>28</v>
      </c>
      <c r="J16" s="2" t="s">
        <v>175</v>
      </c>
      <c r="K16" s="2" t="s">
        <v>28</v>
      </c>
      <c r="L16" s="2" t="s">
        <v>176</v>
      </c>
      <c r="M16" s="3" t="s">
        <v>177</v>
      </c>
      <c r="N16" s="2" t="s">
        <v>28</v>
      </c>
      <c r="P16" s="2" t="s">
        <v>28</v>
      </c>
      <c r="Q16" s="2" t="s">
        <v>178</v>
      </c>
      <c r="R16" s="2" t="s">
        <v>28</v>
      </c>
      <c r="S16" s="2">
        <v>3</v>
      </c>
      <c r="T16" s="3" t="s">
        <v>179</v>
      </c>
      <c r="V16" s="2" t="s">
        <v>28</v>
      </c>
      <c r="X16" s="3" t="s">
        <v>180</v>
      </c>
    </row>
    <row r="17" spans="1:25" ht="22.5" customHeight="1" x14ac:dyDescent="0.2">
      <c r="A17" s="4">
        <v>45725.588081504626</v>
      </c>
      <c r="B17" s="17" t="s">
        <v>181</v>
      </c>
      <c r="C17" s="5" t="s">
        <v>158</v>
      </c>
      <c r="D17" s="5" t="s">
        <v>64</v>
      </c>
      <c r="E17" s="5" t="s">
        <v>731</v>
      </c>
      <c r="F17" s="5" t="s">
        <v>25</v>
      </c>
      <c r="G17" s="5">
        <v>6</v>
      </c>
      <c r="H17" s="5" t="s">
        <v>182</v>
      </c>
      <c r="I17" s="5" t="s">
        <v>28</v>
      </c>
      <c r="J17" s="5" t="s">
        <v>183</v>
      </c>
      <c r="K17" s="5" t="s">
        <v>28</v>
      </c>
      <c r="L17" s="5" t="s">
        <v>184</v>
      </c>
      <c r="M17" s="6" t="s">
        <v>185</v>
      </c>
      <c r="N17" s="5" t="s">
        <v>28</v>
      </c>
      <c r="P17" s="5" t="s">
        <v>28</v>
      </c>
      <c r="Q17" s="5" t="s">
        <v>186</v>
      </c>
      <c r="R17" s="5" t="s">
        <v>32</v>
      </c>
      <c r="S17" s="5" t="s">
        <v>85</v>
      </c>
      <c r="T17" s="6" t="s">
        <v>187</v>
      </c>
      <c r="V17" s="5" t="s">
        <v>32</v>
      </c>
      <c r="W17" s="5" t="s">
        <v>188</v>
      </c>
      <c r="X17" s="6" t="s">
        <v>189</v>
      </c>
    </row>
    <row r="18" spans="1:25" ht="22.5" customHeight="1" x14ac:dyDescent="0.2">
      <c r="A18" s="1">
        <v>45725.588779618054</v>
      </c>
      <c r="B18" s="16" t="s">
        <v>50</v>
      </c>
      <c r="C18" s="2" t="s">
        <v>158</v>
      </c>
      <c r="D18" s="2" t="s">
        <v>64</v>
      </c>
      <c r="E18" s="2" t="s">
        <v>732</v>
      </c>
      <c r="F18" s="2" t="s">
        <v>25</v>
      </c>
      <c r="G18" s="2">
        <v>5</v>
      </c>
      <c r="H18" s="2" t="s">
        <v>190</v>
      </c>
      <c r="I18" s="2" t="s">
        <v>28</v>
      </c>
      <c r="J18" s="2" t="s">
        <v>191</v>
      </c>
      <c r="K18" s="2" t="s">
        <v>28</v>
      </c>
      <c r="L18" s="2" t="s">
        <v>191</v>
      </c>
      <c r="M18" s="3" t="s">
        <v>192</v>
      </c>
      <c r="N18" s="2" t="s">
        <v>32</v>
      </c>
      <c r="O18" s="2" t="s">
        <v>193</v>
      </c>
      <c r="P18" s="2" t="s">
        <v>150</v>
      </c>
      <c r="Q18" s="2" t="s">
        <v>194</v>
      </c>
      <c r="R18" s="2" t="s">
        <v>32</v>
      </c>
      <c r="T18" s="3" t="s">
        <v>195</v>
      </c>
      <c r="V18" s="2" t="s">
        <v>32</v>
      </c>
      <c r="X18" s="3" t="s">
        <v>196</v>
      </c>
      <c r="Y18" s="2" t="s">
        <v>197</v>
      </c>
    </row>
    <row r="19" spans="1:25" ht="22.5" customHeight="1" x14ac:dyDescent="0.2">
      <c r="A19" s="4">
        <v>45725.591657268524</v>
      </c>
      <c r="B19" s="17" t="s">
        <v>117</v>
      </c>
      <c r="C19" s="5" t="s">
        <v>158</v>
      </c>
      <c r="D19" s="5" t="s">
        <v>64</v>
      </c>
      <c r="E19" s="5" t="s">
        <v>733</v>
      </c>
      <c r="F19" s="5" t="s">
        <v>25</v>
      </c>
      <c r="G19" s="5">
        <v>5</v>
      </c>
      <c r="H19" s="5" t="s">
        <v>198</v>
      </c>
      <c r="I19" s="5" t="s">
        <v>28</v>
      </c>
      <c r="J19" s="5" t="s">
        <v>199</v>
      </c>
      <c r="K19" s="5" t="s">
        <v>28</v>
      </c>
      <c r="L19" s="5" t="s">
        <v>200</v>
      </c>
      <c r="M19" s="6" t="s">
        <v>201</v>
      </c>
      <c r="N19" s="5" t="s">
        <v>32</v>
      </c>
      <c r="O19" s="5" t="s">
        <v>202</v>
      </c>
      <c r="P19" s="5" t="s">
        <v>28</v>
      </c>
      <c r="Q19" s="5" t="s">
        <v>203</v>
      </c>
      <c r="R19" s="5" t="s">
        <v>32</v>
      </c>
      <c r="S19" s="5" t="s">
        <v>85</v>
      </c>
      <c r="T19" s="6" t="s">
        <v>204</v>
      </c>
      <c r="V19" s="5" t="s">
        <v>32</v>
      </c>
      <c r="W19" s="5" t="s">
        <v>205</v>
      </c>
      <c r="X19" s="6" t="s">
        <v>206</v>
      </c>
    </row>
    <row r="20" spans="1:25" ht="22.5" customHeight="1" x14ac:dyDescent="0.2">
      <c r="A20" s="1">
        <v>45725.591845196759</v>
      </c>
      <c r="B20" s="16" t="s">
        <v>22</v>
      </c>
      <c r="C20" s="2" t="s">
        <v>158</v>
      </c>
      <c r="D20" s="2" t="s">
        <v>64</v>
      </c>
      <c r="E20" s="2" t="s">
        <v>721</v>
      </c>
      <c r="F20" s="2" t="s">
        <v>25</v>
      </c>
      <c r="G20" s="2">
        <v>4</v>
      </c>
      <c r="H20" s="2" t="s">
        <v>207</v>
      </c>
      <c r="I20" s="2" t="s">
        <v>28</v>
      </c>
      <c r="J20" s="2" t="s">
        <v>208</v>
      </c>
      <c r="K20" s="2" t="s">
        <v>28</v>
      </c>
      <c r="L20" s="2" t="s">
        <v>208</v>
      </c>
      <c r="M20" s="3" t="s">
        <v>209</v>
      </c>
      <c r="N20" s="2" t="s">
        <v>28</v>
      </c>
      <c r="P20" s="2" t="s">
        <v>28</v>
      </c>
      <c r="Q20" s="2" t="s">
        <v>210</v>
      </c>
      <c r="R20" s="2" t="s">
        <v>32</v>
      </c>
      <c r="T20" s="3" t="s">
        <v>211</v>
      </c>
      <c r="V20" s="2" t="s">
        <v>32</v>
      </c>
      <c r="W20" s="2" t="s">
        <v>212</v>
      </c>
      <c r="X20" s="3" t="s">
        <v>213</v>
      </c>
    </row>
    <row r="21" spans="1:25" ht="22.5" customHeight="1" x14ac:dyDescent="0.2">
      <c r="A21" s="4">
        <v>45725.595792546301</v>
      </c>
      <c r="B21" s="17" t="s">
        <v>214</v>
      </c>
      <c r="C21" s="5" t="s">
        <v>158</v>
      </c>
      <c r="D21" s="5" t="s">
        <v>64</v>
      </c>
      <c r="E21" s="5" t="s">
        <v>734</v>
      </c>
      <c r="F21" s="5" t="s">
        <v>25</v>
      </c>
      <c r="G21" s="5">
        <v>6</v>
      </c>
      <c r="H21" s="5" t="s">
        <v>215</v>
      </c>
      <c r="I21" s="5" t="s">
        <v>28</v>
      </c>
      <c r="J21" s="5" t="s">
        <v>216</v>
      </c>
      <c r="K21" s="5" t="s">
        <v>28</v>
      </c>
      <c r="L21" s="5" t="s">
        <v>217</v>
      </c>
      <c r="M21" s="6" t="s">
        <v>218</v>
      </c>
      <c r="N21" s="5" t="s">
        <v>32</v>
      </c>
      <c r="O21" s="5" t="s">
        <v>219</v>
      </c>
      <c r="P21" s="5" t="s">
        <v>28</v>
      </c>
      <c r="Q21" s="5" t="s">
        <v>220</v>
      </c>
      <c r="R21" s="5" t="s">
        <v>32</v>
      </c>
      <c r="T21" s="6" t="s">
        <v>221</v>
      </c>
      <c r="V21" s="5" t="s">
        <v>32</v>
      </c>
      <c r="W21" s="5" t="s">
        <v>222</v>
      </c>
      <c r="X21" s="6" t="s">
        <v>223</v>
      </c>
    </row>
    <row r="22" spans="1:25" ht="22.5" customHeight="1" x14ac:dyDescent="0.2">
      <c r="A22" s="1">
        <v>45725.602758472218</v>
      </c>
      <c r="B22" s="16" t="s">
        <v>104</v>
      </c>
      <c r="C22" s="2" t="s">
        <v>158</v>
      </c>
      <c r="D22" s="2" t="s">
        <v>64</v>
      </c>
      <c r="E22" s="2" t="s">
        <v>726</v>
      </c>
      <c r="F22" s="2" t="s">
        <v>65</v>
      </c>
      <c r="G22" s="2">
        <v>5</v>
      </c>
      <c r="H22" s="2" t="s">
        <v>28</v>
      </c>
      <c r="I22" s="2" t="s">
        <v>28</v>
      </c>
      <c r="J22" s="2" t="s">
        <v>28</v>
      </c>
      <c r="K22" s="2" t="s">
        <v>28</v>
      </c>
      <c r="L22" s="2" t="s">
        <v>224</v>
      </c>
      <c r="M22" s="3" t="s">
        <v>225</v>
      </c>
      <c r="N22" s="2" t="s">
        <v>28</v>
      </c>
      <c r="P22" s="2" t="s">
        <v>28</v>
      </c>
      <c r="Q22" s="2" t="s">
        <v>28</v>
      </c>
      <c r="R22" s="2" t="s">
        <v>32</v>
      </c>
      <c r="T22" s="3" t="s">
        <v>226</v>
      </c>
      <c r="V22" s="2" t="s">
        <v>32</v>
      </c>
      <c r="W22" s="2" t="s">
        <v>72</v>
      </c>
      <c r="X22" s="3" t="s">
        <v>227</v>
      </c>
    </row>
    <row r="23" spans="1:25" ht="22.5" customHeight="1" x14ac:dyDescent="0.2">
      <c r="A23" s="4">
        <v>45731.934623564812</v>
      </c>
      <c r="B23" s="17" t="s">
        <v>144</v>
      </c>
      <c r="C23" s="5" t="s">
        <v>158</v>
      </c>
      <c r="D23" s="5" t="s">
        <v>24</v>
      </c>
      <c r="E23" s="5" t="s">
        <v>729</v>
      </c>
      <c r="F23" s="5" t="s">
        <v>89</v>
      </c>
      <c r="G23" s="5">
        <v>4</v>
      </c>
      <c r="H23" s="5" t="s">
        <v>228</v>
      </c>
      <c r="I23" s="5" t="s">
        <v>32</v>
      </c>
      <c r="J23" s="5" t="s">
        <v>87</v>
      </c>
      <c r="K23" s="5" t="s">
        <v>28</v>
      </c>
      <c r="L23" s="5" t="s">
        <v>85</v>
      </c>
      <c r="M23" s="5" t="s">
        <v>229</v>
      </c>
      <c r="N23" s="5" t="s">
        <v>32</v>
      </c>
      <c r="O23" s="5" t="s">
        <v>230</v>
      </c>
      <c r="P23" s="5" t="s">
        <v>150</v>
      </c>
      <c r="Q23" s="5" t="s">
        <v>231</v>
      </c>
      <c r="R23" s="5" t="s">
        <v>32</v>
      </c>
      <c r="S23" s="5" t="s">
        <v>85</v>
      </c>
      <c r="T23" s="6" t="s">
        <v>232</v>
      </c>
      <c r="U23" s="5" t="s">
        <v>233</v>
      </c>
      <c r="V23" s="5" t="s">
        <v>32</v>
      </c>
      <c r="W23" s="5" t="s">
        <v>154</v>
      </c>
      <c r="X23" s="6" t="s">
        <v>234</v>
      </c>
      <c r="Y23" s="5" t="s">
        <v>235</v>
      </c>
    </row>
    <row r="24" spans="1:25" ht="22.5" customHeight="1" x14ac:dyDescent="0.2">
      <c r="A24" s="1">
        <v>45732.348547685186</v>
      </c>
      <c r="B24" s="16" t="s">
        <v>236</v>
      </c>
      <c r="C24" s="2" t="s">
        <v>158</v>
      </c>
      <c r="D24" s="2" t="s">
        <v>24</v>
      </c>
      <c r="E24" s="2" t="s">
        <v>735</v>
      </c>
      <c r="F24" s="2" t="s">
        <v>65</v>
      </c>
      <c r="G24" s="2">
        <v>4</v>
      </c>
      <c r="H24" s="2" t="s">
        <v>237</v>
      </c>
      <c r="I24" s="2" t="s">
        <v>32</v>
      </c>
      <c r="J24" s="2" t="s">
        <v>119</v>
      </c>
      <c r="K24" s="2" t="s">
        <v>32</v>
      </c>
      <c r="L24" s="2" t="s">
        <v>32</v>
      </c>
      <c r="M24" s="3" t="s">
        <v>238</v>
      </c>
      <c r="N24" s="2" t="s">
        <v>28</v>
      </c>
      <c r="P24" s="2" t="s">
        <v>150</v>
      </c>
      <c r="R24" s="2" t="s">
        <v>32</v>
      </c>
      <c r="S24" s="2" t="s">
        <v>239</v>
      </c>
      <c r="T24" s="3" t="s">
        <v>240</v>
      </c>
      <c r="V24" s="2" t="s">
        <v>32</v>
      </c>
      <c r="W24" s="2" t="s">
        <v>241</v>
      </c>
      <c r="X24" s="3" t="s">
        <v>242</v>
      </c>
    </row>
    <row r="25" spans="1:25" ht="22.5" customHeight="1" x14ac:dyDescent="0.2">
      <c r="A25" s="4">
        <v>45732.619838159721</v>
      </c>
      <c r="B25" s="17" t="s">
        <v>22</v>
      </c>
      <c r="C25" s="5" t="s">
        <v>158</v>
      </c>
      <c r="D25" s="5" t="s">
        <v>24</v>
      </c>
      <c r="E25" s="5" t="s">
        <v>721</v>
      </c>
      <c r="F25" s="5" t="s">
        <v>25</v>
      </c>
      <c r="G25" s="5">
        <v>5</v>
      </c>
      <c r="H25" s="5" t="s">
        <v>243</v>
      </c>
      <c r="I25" s="5" t="s">
        <v>28</v>
      </c>
      <c r="J25" s="5" t="s">
        <v>244</v>
      </c>
      <c r="K25" s="5" t="s">
        <v>28</v>
      </c>
      <c r="L25" s="5" t="s">
        <v>244</v>
      </c>
      <c r="M25" s="6" t="s">
        <v>245</v>
      </c>
      <c r="N25" s="5" t="s">
        <v>32</v>
      </c>
      <c r="O25" s="5" t="s">
        <v>246</v>
      </c>
      <c r="P25" s="5" t="s">
        <v>28</v>
      </c>
      <c r="Q25" s="5" t="s">
        <v>247</v>
      </c>
      <c r="R25" s="5" t="s">
        <v>32</v>
      </c>
      <c r="T25" s="6" t="s">
        <v>248</v>
      </c>
      <c r="V25" s="5" t="s">
        <v>32</v>
      </c>
      <c r="W25" s="5" t="s">
        <v>249</v>
      </c>
      <c r="X25" s="6" t="s">
        <v>250</v>
      </c>
    </row>
    <row r="26" spans="1:25" ht="22.5" customHeight="1" x14ac:dyDescent="0.2">
      <c r="A26" s="1">
        <v>45732.836966250004</v>
      </c>
      <c r="B26" s="16" t="s">
        <v>50</v>
      </c>
      <c r="C26" s="2" t="s">
        <v>158</v>
      </c>
      <c r="D26" s="2" t="s">
        <v>24</v>
      </c>
      <c r="E26" s="2" t="s">
        <v>732</v>
      </c>
      <c r="F26" s="2" t="s">
        <v>25</v>
      </c>
      <c r="G26" s="2">
        <v>5</v>
      </c>
      <c r="H26" s="2" t="s">
        <v>251</v>
      </c>
      <c r="I26" s="2" t="s">
        <v>28</v>
      </c>
      <c r="J26" s="2" t="s">
        <v>252</v>
      </c>
      <c r="K26" s="2" t="s">
        <v>28</v>
      </c>
      <c r="L26" s="2" t="s">
        <v>253</v>
      </c>
      <c r="M26" s="2" t="s">
        <v>254</v>
      </c>
      <c r="N26" s="2" t="s">
        <v>32</v>
      </c>
      <c r="O26" s="2" t="s">
        <v>255</v>
      </c>
      <c r="P26" s="2" t="s">
        <v>28</v>
      </c>
      <c r="Q26" s="2" t="s">
        <v>256</v>
      </c>
      <c r="R26" s="2" t="s">
        <v>32</v>
      </c>
      <c r="T26" s="3" t="s">
        <v>257</v>
      </c>
      <c r="V26" s="2" t="s">
        <v>32</v>
      </c>
      <c r="X26" s="3" t="s">
        <v>258</v>
      </c>
    </row>
    <row r="27" spans="1:25" ht="22.5" customHeight="1" x14ac:dyDescent="0.2">
      <c r="A27" s="4">
        <v>45735.760770347224</v>
      </c>
      <c r="B27" s="17" t="s">
        <v>62</v>
      </c>
      <c r="C27" s="5" t="s">
        <v>158</v>
      </c>
      <c r="D27" s="5" t="s">
        <v>64</v>
      </c>
      <c r="E27" s="2" t="s">
        <v>748</v>
      </c>
      <c r="F27" s="5" t="s">
        <v>65</v>
      </c>
      <c r="G27" s="5">
        <v>5</v>
      </c>
      <c r="H27" s="5" t="s">
        <v>259</v>
      </c>
      <c r="I27" s="5" t="s">
        <v>32</v>
      </c>
      <c r="J27" s="5" t="s">
        <v>260</v>
      </c>
      <c r="K27" s="5" t="s">
        <v>28</v>
      </c>
      <c r="L27" s="5" t="s">
        <v>260</v>
      </c>
      <c r="M27" s="6" t="s">
        <v>261</v>
      </c>
      <c r="N27" s="5" t="s">
        <v>32</v>
      </c>
      <c r="O27" s="5" t="s">
        <v>262</v>
      </c>
      <c r="P27" s="5" t="s">
        <v>150</v>
      </c>
      <c r="R27" s="5" t="s">
        <v>28</v>
      </c>
      <c r="S27" s="5" t="s">
        <v>263</v>
      </c>
      <c r="T27" s="6" t="s">
        <v>264</v>
      </c>
      <c r="V27" s="5" t="s">
        <v>32</v>
      </c>
      <c r="W27" s="5" t="s">
        <v>72</v>
      </c>
      <c r="X27" s="6" t="s">
        <v>265</v>
      </c>
    </row>
    <row r="28" spans="1:25" ht="22.5" customHeight="1" x14ac:dyDescent="0.2">
      <c r="A28" s="1">
        <v>45738.769230949074</v>
      </c>
      <c r="B28" s="16" t="s">
        <v>144</v>
      </c>
      <c r="C28" s="2" t="s">
        <v>158</v>
      </c>
      <c r="D28" s="2" t="s">
        <v>98</v>
      </c>
      <c r="E28" s="2" t="s">
        <v>729</v>
      </c>
      <c r="F28" s="2" t="s">
        <v>89</v>
      </c>
      <c r="G28" s="2">
        <v>1</v>
      </c>
      <c r="H28" s="2" t="s">
        <v>266</v>
      </c>
      <c r="I28" s="2" t="s">
        <v>32</v>
      </c>
      <c r="J28" s="2" t="s">
        <v>154</v>
      </c>
      <c r="K28" s="2" t="s">
        <v>32</v>
      </c>
      <c r="L28" s="2" t="s">
        <v>267</v>
      </c>
      <c r="M28" s="3" t="s">
        <v>268</v>
      </c>
      <c r="N28" s="2" t="s">
        <v>32</v>
      </c>
      <c r="O28" s="2" t="s">
        <v>269</v>
      </c>
      <c r="P28" s="2" t="s">
        <v>150</v>
      </c>
      <c r="Q28" s="2" t="s">
        <v>270</v>
      </c>
      <c r="R28" s="2" t="s">
        <v>32</v>
      </c>
      <c r="S28" s="2" t="s">
        <v>85</v>
      </c>
      <c r="T28" s="3" t="s">
        <v>271</v>
      </c>
      <c r="V28" s="2" t="s">
        <v>32</v>
      </c>
      <c r="W28" s="2" t="s">
        <v>154</v>
      </c>
      <c r="X28" s="3" t="s">
        <v>272</v>
      </c>
    </row>
    <row r="29" spans="1:25" ht="22.5" customHeight="1" x14ac:dyDescent="0.2">
      <c r="A29" s="4">
        <v>45739.360619108797</v>
      </c>
      <c r="B29" s="17" t="s">
        <v>214</v>
      </c>
      <c r="C29" s="5" t="s">
        <v>158</v>
      </c>
      <c r="D29" s="5" t="s">
        <v>24</v>
      </c>
      <c r="E29" s="5" t="s">
        <v>736</v>
      </c>
      <c r="F29" s="5" t="s">
        <v>25</v>
      </c>
      <c r="G29" s="5">
        <v>6</v>
      </c>
      <c r="H29" s="5" t="s">
        <v>273</v>
      </c>
      <c r="I29" s="5" t="s">
        <v>28</v>
      </c>
      <c r="J29" s="5" t="s">
        <v>274</v>
      </c>
      <c r="K29" s="5" t="s">
        <v>28</v>
      </c>
      <c r="L29" s="5" t="s">
        <v>275</v>
      </c>
      <c r="M29" s="6" t="s">
        <v>276</v>
      </c>
      <c r="N29" s="5" t="s">
        <v>32</v>
      </c>
      <c r="O29" s="5" t="s">
        <v>219</v>
      </c>
      <c r="P29" s="5" t="s">
        <v>28</v>
      </c>
      <c r="Q29" s="5" t="s">
        <v>277</v>
      </c>
      <c r="R29" s="5" t="s">
        <v>32</v>
      </c>
      <c r="T29" s="6" t="s">
        <v>278</v>
      </c>
      <c r="V29" s="5" t="s">
        <v>32</v>
      </c>
      <c r="W29" s="5" t="s">
        <v>279</v>
      </c>
      <c r="X29" s="6" t="s">
        <v>280</v>
      </c>
    </row>
    <row r="30" spans="1:25" ht="22.5" customHeight="1" x14ac:dyDescent="0.2">
      <c r="A30" s="1">
        <v>45739.364166168976</v>
      </c>
      <c r="B30" s="16" t="s">
        <v>214</v>
      </c>
      <c r="C30" s="2" t="s">
        <v>158</v>
      </c>
      <c r="D30" s="2" t="s">
        <v>98</v>
      </c>
      <c r="E30" s="2" t="s">
        <v>736</v>
      </c>
      <c r="F30" s="2" t="s">
        <v>25</v>
      </c>
      <c r="G30" s="2">
        <v>6</v>
      </c>
      <c r="H30" s="2" t="s">
        <v>281</v>
      </c>
      <c r="I30" s="2" t="s">
        <v>28</v>
      </c>
      <c r="J30" s="2" t="s">
        <v>282</v>
      </c>
      <c r="K30" s="2" t="s">
        <v>28</v>
      </c>
      <c r="L30" s="2" t="s">
        <v>283</v>
      </c>
      <c r="M30" s="3" t="s">
        <v>284</v>
      </c>
      <c r="N30" s="2" t="s">
        <v>32</v>
      </c>
      <c r="O30" s="2" t="s">
        <v>285</v>
      </c>
      <c r="P30" s="2" t="s">
        <v>28</v>
      </c>
      <c r="Q30" s="2" t="s">
        <v>286</v>
      </c>
      <c r="R30" s="2" t="s">
        <v>32</v>
      </c>
      <c r="T30" s="3" t="s">
        <v>287</v>
      </c>
      <c r="V30" s="2" t="s">
        <v>32</v>
      </c>
      <c r="W30" s="2" t="s">
        <v>288</v>
      </c>
      <c r="X30" s="3" t="s">
        <v>289</v>
      </c>
    </row>
    <row r="31" spans="1:25" ht="22.5" customHeight="1" x14ac:dyDescent="0.2">
      <c r="A31" s="4">
        <v>45739.368108055554</v>
      </c>
      <c r="B31" s="17" t="s">
        <v>290</v>
      </c>
      <c r="C31" s="5" t="s">
        <v>158</v>
      </c>
      <c r="D31" s="5" t="s">
        <v>64</v>
      </c>
      <c r="E31" s="5" t="s">
        <v>737</v>
      </c>
      <c r="F31" s="5" t="s">
        <v>25</v>
      </c>
      <c r="G31" s="5">
        <v>5</v>
      </c>
      <c r="H31" s="5" t="s">
        <v>291</v>
      </c>
      <c r="I31" s="5" t="s">
        <v>32</v>
      </c>
      <c r="J31" s="5" t="s">
        <v>292</v>
      </c>
      <c r="K31" s="5" t="s">
        <v>28</v>
      </c>
      <c r="L31" s="5" t="s">
        <v>72</v>
      </c>
      <c r="M31" s="6" t="s">
        <v>293</v>
      </c>
      <c r="N31" s="5" t="s">
        <v>28</v>
      </c>
      <c r="P31" s="5" t="s">
        <v>28</v>
      </c>
      <c r="R31" s="5" t="s">
        <v>32</v>
      </c>
      <c r="T31" s="6" t="s">
        <v>294</v>
      </c>
      <c r="V31" s="5" t="s">
        <v>28</v>
      </c>
      <c r="X31" s="6" t="s">
        <v>295</v>
      </c>
    </row>
    <row r="32" spans="1:25" ht="19.5" customHeight="1" x14ac:dyDescent="0.2">
      <c r="A32" s="1">
        <v>45739.375414050926</v>
      </c>
      <c r="B32" s="16" t="s">
        <v>290</v>
      </c>
      <c r="C32" s="2" t="s">
        <v>158</v>
      </c>
      <c r="D32" s="2" t="s">
        <v>24</v>
      </c>
      <c r="E32" s="2" t="s">
        <v>737</v>
      </c>
      <c r="F32" s="2" t="s">
        <v>25</v>
      </c>
      <c r="G32" s="2">
        <v>5</v>
      </c>
      <c r="H32" s="2" t="s">
        <v>296</v>
      </c>
      <c r="I32" s="2" t="s">
        <v>28</v>
      </c>
      <c r="J32" s="2" t="s">
        <v>297</v>
      </c>
      <c r="K32" s="2" t="s">
        <v>28</v>
      </c>
      <c r="L32" s="2" t="s">
        <v>297</v>
      </c>
      <c r="M32" s="3" t="s">
        <v>298</v>
      </c>
      <c r="N32" s="2" t="s">
        <v>32</v>
      </c>
      <c r="P32" s="2" t="s">
        <v>150</v>
      </c>
      <c r="R32" s="2" t="s">
        <v>32</v>
      </c>
      <c r="T32" s="3" t="s">
        <v>299</v>
      </c>
      <c r="V32" s="2" t="s">
        <v>32</v>
      </c>
      <c r="X32" s="3" t="s">
        <v>300</v>
      </c>
    </row>
    <row r="33" spans="1:25" ht="22.5" customHeight="1" x14ac:dyDescent="0.2">
      <c r="A33" s="4">
        <v>45739.384941539349</v>
      </c>
      <c r="B33" s="17" t="s">
        <v>301</v>
      </c>
      <c r="C33" s="5" t="s">
        <v>158</v>
      </c>
      <c r="D33" s="5" t="s">
        <v>98</v>
      </c>
      <c r="E33" s="5" t="s">
        <v>737</v>
      </c>
      <c r="F33" s="5" t="s">
        <v>25</v>
      </c>
      <c r="G33" s="5">
        <v>5</v>
      </c>
      <c r="H33" s="5" t="s">
        <v>302</v>
      </c>
      <c r="I33" s="5" t="s">
        <v>28</v>
      </c>
      <c r="J33" s="5" t="s">
        <v>303</v>
      </c>
      <c r="K33" s="5" t="s">
        <v>28</v>
      </c>
      <c r="L33" s="5" t="s">
        <v>303</v>
      </c>
      <c r="M33" s="6" t="s">
        <v>304</v>
      </c>
      <c r="N33" s="5" t="s">
        <v>32</v>
      </c>
      <c r="P33" s="5" t="s">
        <v>28</v>
      </c>
      <c r="Q33" s="5" t="s">
        <v>305</v>
      </c>
      <c r="R33" s="5" t="s">
        <v>32</v>
      </c>
      <c r="T33" s="6" t="s">
        <v>306</v>
      </c>
      <c r="V33" s="5" t="s">
        <v>32</v>
      </c>
      <c r="X33" s="6" t="s">
        <v>307</v>
      </c>
    </row>
    <row r="34" spans="1:25" ht="22.5" customHeight="1" x14ac:dyDescent="0.2">
      <c r="A34" s="1">
        <v>45739.421408124996</v>
      </c>
      <c r="B34" s="16" t="s">
        <v>62</v>
      </c>
      <c r="C34" s="2" t="s">
        <v>158</v>
      </c>
      <c r="D34" s="2" t="s">
        <v>24</v>
      </c>
      <c r="E34" s="2" t="s">
        <v>748</v>
      </c>
      <c r="F34" s="2" t="s">
        <v>65</v>
      </c>
      <c r="G34" s="2">
        <v>6</v>
      </c>
      <c r="H34" s="2" t="s">
        <v>259</v>
      </c>
      <c r="I34" s="2" t="s">
        <v>32</v>
      </c>
      <c r="J34" s="2" t="s">
        <v>308</v>
      </c>
      <c r="K34" s="2" t="s">
        <v>28</v>
      </c>
      <c r="L34" s="2" t="s">
        <v>308</v>
      </c>
      <c r="M34" s="3" t="s">
        <v>309</v>
      </c>
      <c r="N34" s="2" t="s">
        <v>32</v>
      </c>
      <c r="O34" s="2" t="s">
        <v>262</v>
      </c>
      <c r="P34" s="2" t="s">
        <v>28</v>
      </c>
      <c r="Q34" s="2" t="s">
        <v>310</v>
      </c>
      <c r="R34" s="2" t="s">
        <v>28</v>
      </c>
      <c r="S34" s="2">
        <v>2</v>
      </c>
      <c r="T34" s="3" t="s">
        <v>311</v>
      </c>
      <c r="V34" s="2" t="s">
        <v>32</v>
      </c>
      <c r="W34" s="2" t="s">
        <v>72</v>
      </c>
      <c r="X34" s="3" t="s">
        <v>312</v>
      </c>
    </row>
    <row r="35" spans="1:25" ht="22.5" customHeight="1" x14ac:dyDescent="0.2">
      <c r="A35" s="4">
        <v>45742.593988182867</v>
      </c>
      <c r="B35" s="17" t="s">
        <v>117</v>
      </c>
      <c r="C35" s="5" t="s">
        <v>158</v>
      </c>
      <c r="D35" s="5" t="s">
        <v>24</v>
      </c>
      <c r="E35" s="5" t="s">
        <v>728</v>
      </c>
      <c r="F35" s="5" t="s">
        <v>25</v>
      </c>
      <c r="G35" s="5">
        <v>5</v>
      </c>
      <c r="H35" s="5" t="s">
        <v>313</v>
      </c>
      <c r="I35" s="5" t="s">
        <v>28</v>
      </c>
      <c r="J35" s="5" t="s">
        <v>314</v>
      </c>
      <c r="K35" s="5" t="s">
        <v>28</v>
      </c>
      <c r="L35" s="5" t="s">
        <v>315</v>
      </c>
      <c r="M35" s="6" t="s">
        <v>316</v>
      </c>
      <c r="N35" s="5" t="s">
        <v>32</v>
      </c>
      <c r="O35" s="5" t="s">
        <v>32</v>
      </c>
      <c r="P35" s="5" t="s">
        <v>28</v>
      </c>
      <c r="Q35" s="5" t="s">
        <v>317</v>
      </c>
      <c r="R35" s="5" t="s">
        <v>32</v>
      </c>
      <c r="S35" s="5" t="s">
        <v>85</v>
      </c>
      <c r="T35" s="6" t="s">
        <v>318</v>
      </c>
      <c r="V35" s="5" t="s">
        <v>32</v>
      </c>
      <c r="W35" s="5" t="s">
        <v>319</v>
      </c>
      <c r="X35" s="6" t="s">
        <v>320</v>
      </c>
    </row>
    <row r="36" spans="1:25" ht="22.5" customHeight="1" x14ac:dyDescent="0.2">
      <c r="A36" s="1">
        <v>45742.603107395829</v>
      </c>
      <c r="B36" s="16" t="s">
        <v>117</v>
      </c>
      <c r="C36" s="2" t="s">
        <v>158</v>
      </c>
      <c r="D36" s="2" t="s">
        <v>98</v>
      </c>
      <c r="E36" s="2" t="s">
        <v>728</v>
      </c>
      <c r="F36" s="2" t="s">
        <v>25</v>
      </c>
      <c r="G36" s="2">
        <v>4</v>
      </c>
      <c r="H36" s="2" t="s">
        <v>321</v>
      </c>
      <c r="I36" s="2" t="s">
        <v>32</v>
      </c>
      <c r="J36" s="2" t="s">
        <v>322</v>
      </c>
      <c r="K36" s="2" t="s">
        <v>28</v>
      </c>
      <c r="L36" s="2" t="s">
        <v>322</v>
      </c>
      <c r="M36" s="3" t="s">
        <v>323</v>
      </c>
      <c r="N36" s="2" t="s">
        <v>32</v>
      </c>
      <c r="O36" s="2" t="s">
        <v>32</v>
      </c>
      <c r="P36" s="2" t="s">
        <v>28</v>
      </c>
      <c r="Q36" s="2" t="s">
        <v>324</v>
      </c>
      <c r="R36" s="2" t="s">
        <v>32</v>
      </c>
      <c r="S36" s="2" t="s">
        <v>87</v>
      </c>
      <c r="T36" s="3" t="s">
        <v>325</v>
      </c>
      <c r="V36" s="2" t="s">
        <v>32</v>
      </c>
      <c r="W36" s="2" t="s">
        <v>142</v>
      </c>
      <c r="X36" s="3" t="s">
        <v>326</v>
      </c>
    </row>
    <row r="37" spans="1:25" ht="22.5" customHeight="1" x14ac:dyDescent="0.2">
      <c r="A37" s="4">
        <v>45745.697394189818</v>
      </c>
      <c r="B37" s="17" t="s">
        <v>327</v>
      </c>
      <c r="C37" s="5" t="s">
        <v>158</v>
      </c>
      <c r="D37" s="5" t="s">
        <v>64</v>
      </c>
      <c r="E37" s="5" t="s">
        <v>738</v>
      </c>
      <c r="F37" s="5" t="s">
        <v>65</v>
      </c>
      <c r="G37" s="5">
        <v>4</v>
      </c>
      <c r="H37" s="5" t="s">
        <v>328</v>
      </c>
      <c r="I37" s="5" t="s">
        <v>28</v>
      </c>
      <c r="J37" s="5" t="s">
        <v>329</v>
      </c>
      <c r="K37" s="5" t="s">
        <v>28</v>
      </c>
      <c r="L37" s="5" t="s">
        <v>330</v>
      </c>
      <c r="M37" s="6" t="s">
        <v>331</v>
      </c>
      <c r="N37" s="5" t="s">
        <v>28</v>
      </c>
      <c r="P37" s="5" t="s">
        <v>28</v>
      </c>
      <c r="Q37" s="5" t="s">
        <v>332</v>
      </c>
      <c r="R37" s="5" t="s">
        <v>28</v>
      </c>
      <c r="S37" s="5" t="s">
        <v>333</v>
      </c>
      <c r="T37" s="6" t="s">
        <v>334</v>
      </c>
      <c r="V37" s="5" t="s">
        <v>28</v>
      </c>
      <c r="X37" s="6" t="s">
        <v>335</v>
      </c>
    </row>
    <row r="38" spans="1:25" ht="22.5" customHeight="1" x14ac:dyDescent="0.2">
      <c r="A38" s="1">
        <v>45745.710728784718</v>
      </c>
      <c r="B38" s="16" t="s">
        <v>327</v>
      </c>
      <c r="C38" s="2" t="s">
        <v>158</v>
      </c>
      <c r="D38" s="2" t="s">
        <v>24</v>
      </c>
      <c r="E38" s="2" t="s">
        <v>739</v>
      </c>
      <c r="F38" s="2" t="s">
        <v>65</v>
      </c>
      <c r="G38" s="2">
        <v>4</v>
      </c>
      <c r="H38" s="2" t="s">
        <v>336</v>
      </c>
      <c r="I38" s="2" t="s">
        <v>28</v>
      </c>
      <c r="J38" s="2" t="s">
        <v>337</v>
      </c>
      <c r="K38" s="2" t="s">
        <v>28</v>
      </c>
      <c r="L38" s="2" t="s">
        <v>338</v>
      </c>
      <c r="M38" s="3" t="s">
        <v>339</v>
      </c>
      <c r="N38" s="2" t="s">
        <v>28</v>
      </c>
      <c r="P38" s="2" t="s">
        <v>28</v>
      </c>
      <c r="Q38" s="2" t="s">
        <v>340</v>
      </c>
      <c r="R38" s="2" t="s">
        <v>28</v>
      </c>
      <c r="S38" s="2">
        <v>2</v>
      </c>
      <c r="T38" s="3" t="s">
        <v>341</v>
      </c>
      <c r="V38" s="2" t="s">
        <v>28</v>
      </c>
      <c r="X38" s="3" t="s">
        <v>342</v>
      </c>
    </row>
    <row r="39" spans="1:25" ht="22.5" customHeight="1" x14ac:dyDescent="0.2">
      <c r="A39" s="4">
        <v>45745.723274537042</v>
      </c>
      <c r="B39" s="17" t="s">
        <v>327</v>
      </c>
      <c r="C39" s="5" t="s">
        <v>158</v>
      </c>
      <c r="D39" s="5" t="s">
        <v>98</v>
      </c>
      <c r="E39" s="5" t="s">
        <v>739</v>
      </c>
      <c r="F39" s="5" t="s">
        <v>65</v>
      </c>
      <c r="G39" s="5">
        <v>4</v>
      </c>
      <c r="H39" s="5" t="s">
        <v>343</v>
      </c>
      <c r="I39" s="5" t="s">
        <v>28</v>
      </c>
      <c r="J39" s="5" t="s">
        <v>344</v>
      </c>
      <c r="K39" s="5" t="s">
        <v>28</v>
      </c>
      <c r="L39" s="5" t="s">
        <v>345</v>
      </c>
      <c r="M39" s="6" t="s">
        <v>346</v>
      </c>
      <c r="N39" s="5" t="s">
        <v>28</v>
      </c>
      <c r="P39" s="5" t="s">
        <v>28</v>
      </c>
      <c r="Q39" s="5" t="s">
        <v>347</v>
      </c>
      <c r="R39" s="5" t="s">
        <v>28</v>
      </c>
      <c r="S39" s="5" t="s">
        <v>333</v>
      </c>
      <c r="T39" s="6" t="s">
        <v>348</v>
      </c>
      <c r="V39" s="5" t="s">
        <v>28</v>
      </c>
      <c r="X39" s="6" t="s">
        <v>349</v>
      </c>
    </row>
    <row r="40" spans="1:25" ht="22.5" customHeight="1" x14ac:dyDescent="0.2">
      <c r="A40" s="1">
        <v>45745.900523356482</v>
      </c>
      <c r="B40" s="16" t="s">
        <v>50</v>
      </c>
      <c r="C40" s="2" t="s">
        <v>158</v>
      </c>
      <c r="D40" s="2" t="s">
        <v>98</v>
      </c>
      <c r="E40" s="2" t="s">
        <v>732</v>
      </c>
      <c r="F40" s="2" t="s">
        <v>25</v>
      </c>
      <c r="G40" s="2">
        <v>5</v>
      </c>
      <c r="H40" s="2" t="s">
        <v>256</v>
      </c>
      <c r="I40" s="2" t="s">
        <v>28</v>
      </c>
      <c r="J40" s="2" t="s">
        <v>350</v>
      </c>
      <c r="K40" s="2" t="s">
        <v>28</v>
      </c>
      <c r="L40" s="2" t="s">
        <v>351</v>
      </c>
      <c r="M40" s="2" t="s">
        <v>352</v>
      </c>
      <c r="N40" s="2" t="s">
        <v>28</v>
      </c>
      <c r="P40" s="2" t="s">
        <v>28</v>
      </c>
      <c r="Q40" s="2" t="s">
        <v>256</v>
      </c>
      <c r="R40" s="2" t="s">
        <v>28</v>
      </c>
      <c r="T40" s="3" t="s">
        <v>353</v>
      </c>
      <c r="V40" s="2" t="s">
        <v>28</v>
      </c>
      <c r="X40" s="3" t="s">
        <v>354</v>
      </c>
    </row>
    <row r="41" spans="1:25" ht="22.5" customHeight="1" x14ac:dyDescent="0.2">
      <c r="A41" s="4">
        <v>45746.582068645832</v>
      </c>
      <c r="B41" s="17" t="s">
        <v>144</v>
      </c>
      <c r="C41" s="5" t="s">
        <v>158</v>
      </c>
      <c r="D41" s="5" t="s">
        <v>355</v>
      </c>
      <c r="E41" s="5" t="s">
        <v>729</v>
      </c>
      <c r="F41" s="5" t="s">
        <v>89</v>
      </c>
      <c r="G41" s="5">
        <v>1</v>
      </c>
      <c r="H41" s="5" t="s">
        <v>356</v>
      </c>
      <c r="I41" s="5" t="s">
        <v>32</v>
      </c>
      <c r="J41" s="5" t="s">
        <v>154</v>
      </c>
      <c r="K41" s="5" t="s">
        <v>32</v>
      </c>
      <c r="L41" s="5" t="s">
        <v>154</v>
      </c>
      <c r="M41" s="6" t="s">
        <v>357</v>
      </c>
      <c r="N41" s="5" t="s">
        <v>32</v>
      </c>
      <c r="O41" s="5" t="s">
        <v>358</v>
      </c>
      <c r="P41" s="5" t="s">
        <v>150</v>
      </c>
      <c r="R41" s="5" t="s">
        <v>32</v>
      </c>
      <c r="S41" s="5" t="s">
        <v>85</v>
      </c>
      <c r="T41" s="6" t="s">
        <v>359</v>
      </c>
      <c r="V41" s="5" t="s">
        <v>32</v>
      </c>
      <c r="W41" s="5" t="s">
        <v>360</v>
      </c>
      <c r="X41" s="6" t="s">
        <v>361</v>
      </c>
    </row>
    <row r="42" spans="1:25" ht="22.5" customHeight="1" x14ac:dyDescent="0.2">
      <c r="A42" s="1">
        <v>45746.582393680554</v>
      </c>
      <c r="B42" s="16" t="s">
        <v>22</v>
      </c>
      <c r="C42" s="2" t="s">
        <v>158</v>
      </c>
      <c r="D42" s="2" t="s">
        <v>98</v>
      </c>
      <c r="E42" s="2" t="s">
        <v>721</v>
      </c>
      <c r="F42" s="2" t="s">
        <v>25</v>
      </c>
      <c r="G42" s="2">
        <v>5</v>
      </c>
      <c r="H42" s="2" t="s">
        <v>243</v>
      </c>
      <c r="I42" s="2" t="s">
        <v>28</v>
      </c>
      <c r="J42" s="2" t="s">
        <v>362</v>
      </c>
      <c r="K42" s="2" t="s">
        <v>28</v>
      </c>
      <c r="L42" s="2" t="s">
        <v>363</v>
      </c>
      <c r="M42" s="3" t="s">
        <v>364</v>
      </c>
      <c r="N42" s="2" t="s">
        <v>32</v>
      </c>
      <c r="O42" s="2" t="s">
        <v>246</v>
      </c>
      <c r="P42" s="2" t="s">
        <v>28</v>
      </c>
      <c r="Q42" s="2" t="s">
        <v>365</v>
      </c>
      <c r="R42" s="2" t="s">
        <v>32</v>
      </c>
      <c r="T42" s="3" t="s">
        <v>366</v>
      </c>
      <c r="V42" s="2" t="s">
        <v>32</v>
      </c>
      <c r="W42" s="2" t="s">
        <v>367</v>
      </c>
      <c r="X42" s="3" t="s">
        <v>368</v>
      </c>
    </row>
    <row r="43" spans="1:25" ht="22.5" customHeight="1" x14ac:dyDescent="0.2">
      <c r="A43" s="4">
        <v>45746.587783784722</v>
      </c>
      <c r="B43" s="17" t="s">
        <v>22</v>
      </c>
      <c r="C43" s="5" t="s">
        <v>158</v>
      </c>
      <c r="D43" s="5" t="s">
        <v>355</v>
      </c>
      <c r="E43" s="5" t="s">
        <v>721</v>
      </c>
      <c r="F43" s="5" t="s">
        <v>25</v>
      </c>
      <c r="G43" s="5">
        <v>5</v>
      </c>
      <c r="H43" s="5" t="s">
        <v>369</v>
      </c>
      <c r="I43" s="5" t="s">
        <v>28</v>
      </c>
      <c r="J43" s="5" t="s">
        <v>370</v>
      </c>
      <c r="K43" s="5" t="s">
        <v>28</v>
      </c>
      <c r="L43" s="5" t="s">
        <v>371</v>
      </c>
      <c r="M43" s="6" t="s">
        <v>372</v>
      </c>
      <c r="N43" s="5" t="s">
        <v>32</v>
      </c>
      <c r="O43" s="5" t="s">
        <v>246</v>
      </c>
      <c r="P43" s="5" t="s">
        <v>28</v>
      </c>
      <c r="Q43" s="5" t="s">
        <v>373</v>
      </c>
      <c r="R43" s="5" t="s">
        <v>32</v>
      </c>
      <c r="T43" s="6" t="s">
        <v>374</v>
      </c>
      <c r="V43" s="5" t="s">
        <v>32</v>
      </c>
      <c r="W43" s="5" t="s">
        <v>375</v>
      </c>
      <c r="X43" s="6" t="s">
        <v>376</v>
      </c>
    </row>
    <row r="44" spans="1:25" ht="22.5" customHeight="1" x14ac:dyDescent="0.2">
      <c r="A44" s="1">
        <v>45746.589658472221</v>
      </c>
      <c r="B44" s="16" t="s">
        <v>117</v>
      </c>
      <c r="C44" s="2" t="s">
        <v>158</v>
      </c>
      <c r="D44" s="2" t="s">
        <v>355</v>
      </c>
      <c r="E44" s="2" t="s">
        <v>728</v>
      </c>
      <c r="F44" s="2" t="s">
        <v>25</v>
      </c>
      <c r="G44" s="2">
        <v>5</v>
      </c>
      <c r="H44" s="2" t="s">
        <v>377</v>
      </c>
      <c r="I44" s="2" t="s">
        <v>28</v>
      </c>
      <c r="J44" s="2" t="s">
        <v>322</v>
      </c>
      <c r="K44" s="2" t="s">
        <v>28</v>
      </c>
      <c r="L44" s="2" t="s">
        <v>322</v>
      </c>
      <c r="M44" s="3" t="s">
        <v>378</v>
      </c>
      <c r="N44" s="2" t="s">
        <v>32</v>
      </c>
      <c r="O44" s="2" t="s">
        <v>131</v>
      </c>
      <c r="P44" s="2" t="s">
        <v>28</v>
      </c>
      <c r="Q44" s="2" t="s">
        <v>379</v>
      </c>
      <c r="R44" s="2" t="s">
        <v>32</v>
      </c>
      <c r="S44" s="2" t="s">
        <v>87</v>
      </c>
      <c r="T44" s="3" t="s">
        <v>380</v>
      </c>
      <c r="V44" s="2" t="s">
        <v>32</v>
      </c>
      <c r="W44" s="2" t="s">
        <v>142</v>
      </c>
      <c r="X44" s="3" t="s">
        <v>381</v>
      </c>
    </row>
    <row r="45" spans="1:25" ht="22.5" customHeight="1" x14ac:dyDescent="0.2">
      <c r="A45" s="4">
        <v>45746.593417962962</v>
      </c>
      <c r="B45" s="17" t="s">
        <v>104</v>
      </c>
      <c r="C45" s="5" t="s">
        <v>158</v>
      </c>
      <c r="D45" s="5" t="s">
        <v>24</v>
      </c>
      <c r="E45" s="5" t="s">
        <v>740</v>
      </c>
      <c r="F45" s="5" t="s">
        <v>65</v>
      </c>
      <c r="G45" s="5">
        <v>4</v>
      </c>
      <c r="H45" s="5" t="s">
        <v>28</v>
      </c>
      <c r="I45" s="5" t="s">
        <v>28</v>
      </c>
      <c r="J45" s="5" t="s">
        <v>382</v>
      </c>
      <c r="K45" s="5" t="s">
        <v>28</v>
      </c>
      <c r="L45" s="5" t="s">
        <v>383</v>
      </c>
      <c r="M45" s="6" t="s">
        <v>384</v>
      </c>
      <c r="N45" s="5" t="s">
        <v>28</v>
      </c>
      <c r="O45" s="5" t="s">
        <v>32</v>
      </c>
      <c r="P45" s="5" t="s">
        <v>28</v>
      </c>
      <c r="Q45" s="5" t="s">
        <v>28</v>
      </c>
      <c r="R45" s="5" t="s">
        <v>28</v>
      </c>
      <c r="S45" s="5">
        <v>1</v>
      </c>
      <c r="T45" s="6" t="s">
        <v>385</v>
      </c>
      <c r="U45" s="5" t="s">
        <v>151</v>
      </c>
      <c r="V45" s="5" t="s">
        <v>32</v>
      </c>
      <c r="W45" s="5" t="s">
        <v>386</v>
      </c>
      <c r="X45" s="6" t="s">
        <v>387</v>
      </c>
    </row>
    <row r="46" spans="1:25" ht="22.5" customHeight="1" x14ac:dyDescent="0.2">
      <c r="A46" s="1">
        <v>45746.596937291666</v>
      </c>
      <c r="B46" s="16" t="s">
        <v>104</v>
      </c>
      <c r="C46" s="2" t="s">
        <v>158</v>
      </c>
      <c r="D46" s="2" t="s">
        <v>98</v>
      </c>
      <c r="E46" s="2" t="s">
        <v>740</v>
      </c>
      <c r="F46" s="2" t="s">
        <v>65</v>
      </c>
      <c r="G46" s="2">
        <v>4</v>
      </c>
      <c r="H46" s="2">
        <v>5</v>
      </c>
      <c r="I46" s="2" t="s">
        <v>28</v>
      </c>
      <c r="J46" s="2" t="s">
        <v>388</v>
      </c>
      <c r="K46" s="2" t="s">
        <v>28</v>
      </c>
      <c r="L46" s="2" t="s">
        <v>389</v>
      </c>
      <c r="M46" s="3" t="s">
        <v>390</v>
      </c>
      <c r="N46" s="2" t="s">
        <v>28</v>
      </c>
      <c r="O46" s="2" t="s">
        <v>391</v>
      </c>
      <c r="P46" s="2" t="s">
        <v>28</v>
      </c>
      <c r="Q46" s="2" t="s">
        <v>392</v>
      </c>
      <c r="R46" s="2" t="s">
        <v>28</v>
      </c>
      <c r="S46" s="2">
        <v>1</v>
      </c>
      <c r="T46" s="3" t="s">
        <v>393</v>
      </c>
      <c r="U46" s="2" t="s">
        <v>28</v>
      </c>
      <c r="V46" s="2" t="s">
        <v>28</v>
      </c>
      <c r="W46" s="2" t="s">
        <v>28</v>
      </c>
      <c r="X46" s="3" t="s">
        <v>394</v>
      </c>
    </row>
    <row r="47" spans="1:25" ht="22.5" customHeight="1" x14ac:dyDescent="0.2">
      <c r="A47" s="4">
        <v>45754.320136215276</v>
      </c>
      <c r="B47" s="17" t="s">
        <v>395</v>
      </c>
      <c r="C47" s="5" t="s">
        <v>158</v>
      </c>
      <c r="D47" s="5" t="s">
        <v>39</v>
      </c>
      <c r="E47" s="5" t="s">
        <v>741</v>
      </c>
      <c r="F47" s="5" t="s">
        <v>40</v>
      </c>
      <c r="G47" s="5">
        <v>4</v>
      </c>
      <c r="H47" s="5" t="s">
        <v>396</v>
      </c>
      <c r="I47" s="5" t="s">
        <v>28</v>
      </c>
      <c r="J47" s="5" t="s">
        <v>397</v>
      </c>
      <c r="K47" s="5" t="s">
        <v>28</v>
      </c>
      <c r="L47" s="5" t="s">
        <v>398</v>
      </c>
      <c r="M47" s="6" t="s">
        <v>399</v>
      </c>
      <c r="N47" s="5" t="s">
        <v>28</v>
      </c>
      <c r="P47" s="5" t="s">
        <v>150</v>
      </c>
      <c r="R47" s="5" t="s">
        <v>28</v>
      </c>
      <c r="S47" s="5" t="s">
        <v>400</v>
      </c>
      <c r="T47" s="6" t="s">
        <v>401</v>
      </c>
      <c r="U47" s="5" t="s">
        <v>402</v>
      </c>
      <c r="V47" s="5" t="s">
        <v>28</v>
      </c>
      <c r="W47" s="5" t="s">
        <v>403</v>
      </c>
      <c r="X47" s="6" t="s">
        <v>404</v>
      </c>
      <c r="Y47" s="5" t="s">
        <v>405</v>
      </c>
    </row>
    <row r="48" spans="1:25" ht="22.5" customHeight="1" x14ac:dyDescent="0.2">
      <c r="A48" s="1">
        <v>45758.901929548607</v>
      </c>
      <c r="B48" s="16" t="s">
        <v>50</v>
      </c>
      <c r="C48" s="2" t="s">
        <v>158</v>
      </c>
      <c r="D48" s="2" t="s">
        <v>355</v>
      </c>
      <c r="E48" s="2" t="s">
        <v>723</v>
      </c>
      <c r="F48" s="2" t="s">
        <v>25</v>
      </c>
      <c r="G48" s="2">
        <v>6</v>
      </c>
      <c r="H48" s="2" t="s">
        <v>406</v>
      </c>
      <c r="I48" s="2" t="s">
        <v>28</v>
      </c>
      <c r="J48" s="2" t="s">
        <v>407</v>
      </c>
      <c r="K48" s="2" t="s">
        <v>28</v>
      </c>
      <c r="L48" s="2" t="s">
        <v>408</v>
      </c>
      <c r="M48" s="2" t="s">
        <v>409</v>
      </c>
      <c r="N48" s="2" t="s">
        <v>28</v>
      </c>
      <c r="P48" s="2" t="s">
        <v>28</v>
      </c>
      <c r="Q48" s="2" t="s">
        <v>410</v>
      </c>
      <c r="R48" s="2" t="s">
        <v>28</v>
      </c>
      <c r="S48" s="2" t="s">
        <v>411</v>
      </c>
      <c r="T48" s="3" t="s">
        <v>412</v>
      </c>
      <c r="V48" s="2" t="s">
        <v>28</v>
      </c>
      <c r="X48" s="3" t="s">
        <v>413</v>
      </c>
    </row>
    <row r="49" spans="1:25" ht="22.5" customHeight="1" x14ac:dyDescent="0.2">
      <c r="A49" s="4">
        <v>45758.907348692126</v>
      </c>
      <c r="B49" s="17" t="s">
        <v>50</v>
      </c>
      <c r="C49" s="5" t="s">
        <v>158</v>
      </c>
      <c r="D49" s="5" t="s">
        <v>355</v>
      </c>
      <c r="E49" s="5" t="s">
        <v>732</v>
      </c>
      <c r="F49" s="5" t="s">
        <v>25</v>
      </c>
      <c r="G49" s="5">
        <v>5</v>
      </c>
      <c r="H49" s="5" t="s">
        <v>414</v>
      </c>
      <c r="I49" s="5" t="s">
        <v>28</v>
      </c>
      <c r="J49" s="5" t="s">
        <v>415</v>
      </c>
      <c r="K49" s="5" t="s">
        <v>28</v>
      </c>
      <c r="L49" s="5" t="s">
        <v>416</v>
      </c>
      <c r="M49" s="5" t="s">
        <v>417</v>
      </c>
      <c r="N49" s="5" t="s">
        <v>28</v>
      </c>
      <c r="P49" s="5" t="s">
        <v>28</v>
      </c>
      <c r="Q49" s="5" t="s">
        <v>410</v>
      </c>
      <c r="R49" s="5" t="s">
        <v>28</v>
      </c>
      <c r="S49" s="5" t="s">
        <v>418</v>
      </c>
      <c r="T49" s="6" t="s">
        <v>419</v>
      </c>
      <c r="V49" s="5" t="s">
        <v>28</v>
      </c>
      <c r="X49" s="6" t="s">
        <v>420</v>
      </c>
    </row>
    <row r="50" spans="1:25" ht="22.5" customHeight="1" x14ac:dyDescent="0.2">
      <c r="A50" s="1">
        <v>45758.913596967592</v>
      </c>
      <c r="B50" s="16" t="s">
        <v>50</v>
      </c>
      <c r="C50" s="2" t="s">
        <v>421</v>
      </c>
      <c r="D50" s="2" t="s">
        <v>64</v>
      </c>
      <c r="E50" s="2" t="s">
        <v>732</v>
      </c>
      <c r="F50" s="2" t="s">
        <v>25</v>
      </c>
      <c r="G50" s="2">
        <v>5</v>
      </c>
      <c r="H50" s="2" t="s">
        <v>410</v>
      </c>
      <c r="I50" s="2" t="s">
        <v>28</v>
      </c>
      <c r="J50" s="2" t="s">
        <v>422</v>
      </c>
      <c r="K50" s="2" t="s">
        <v>28</v>
      </c>
      <c r="L50" s="2" t="s">
        <v>423</v>
      </c>
      <c r="M50" s="2" t="s">
        <v>424</v>
      </c>
      <c r="N50" s="2" t="s">
        <v>32</v>
      </c>
      <c r="O50" s="2" t="s">
        <v>425</v>
      </c>
      <c r="P50" s="2" t="s">
        <v>28</v>
      </c>
      <c r="Q50" s="2" t="s">
        <v>410</v>
      </c>
      <c r="R50" s="2" t="s">
        <v>28</v>
      </c>
      <c r="S50" s="2" t="s">
        <v>426</v>
      </c>
      <c r="T50" s="3" t="s">
        <v>427</v>
      </c>
      <c r="V50" s="2" t="s">
        <v>28</v>
      </c>
      <c r="X50" s="3" t="s">
        <v>428</v>
      </c>
    </row>
    <row r="51" spans="1:25" ht="22.5" customHeight="1" x14ac:dyDescent="0.2">
      <c r="A51" s="4">
        <v>45760.746934282404</v>
      </c>
      <c r="B51" s="17" t="s">
        <v>117</v>
      </c>
      <c r="C51" s="5" t="s">
        <v>421</v>
      </c>
      <c r="D51" s="5" t="s">
        <v>64</v>
      </c>
      <c r="E51" s="5" t="s">
        <v>742</v>
      </c>
      <c r="F51" s="5" t="s">
        <v>25</v>
      </c>
      <c r="G51" s="5">
        <v>4</v>
      </c>
      <c r="H51" s="5" t="s">
        <v>429</v>
      </c>
      <c r="I51" s="5" t="s">
        <v>28</v>
      </c>
      <c r="J51" s="5" t="s">
        <v>430</v>
      </c>
      <c r="K51" s="5" t="s">
        <v>28</v>
      </c>
      <c r="L51" s="5" t="s">
        <v>431</v>
      </c>
      <c r="M51" s="6" t="s">
        <v>432</v>
      </c>
      <c r="N51" s="5" t="s">
        <v>32</v>
      </c>
      <c r="O51" s="5" t="s">
        <v>433</v>
      </c>
      <c r="P51" s="5" t="s">
        <v>28</v>
      </c>
      <c r="Q51" s="5" t="s">
        <v>434</v>
      </c>
      <c r="R51" s="5" t="s">
        <v>32</v>
      </c>
      <c r="S51" s="5" t="s">
        <v>85</v>
      </c>
      <c r="T51" s="6" t="s">
        <v>435</v>
      </c>
      <c r="V51" s="5" t="s">
        <v>32</v>
      </c>
      <c r="W51" s="5" t="s">
        <v>142</v>
      </c>
      <c r="X51" s="6" t="s">
        <v>436</v>
      </c>
    </row>
    <row r="52" spans="1:25" ht="22.5" customHeight="1" x14ac:dyDescent="0.2">
      <c r="A52" s="1">
        <v>45760.758605011579</v>
      </c>
      <c r="B52" s="16" t="s">
        <v>117</v>
      </c>
      <c r="C52" s="2" t="s">
        <v>421</v>
      </c>
      <c r="D52" s="2" t="s">
        <v>24</v>
      </c>
      <c r="E52" s="2" t="s">
        <v>728</v>
      </c>
      <c r="F52" s="2" t="s">
        <v>25</v>
      </c>
      <c r="G52" s="2">
        <v>5</v>
      </c>
      <c r="H52" s="2" t="s">
        <v>437</v>
      </c>
      <c r="I52" s="2" t="s">
        <v>28</v>
      </c>
      <c r="J52" s="2" t="s">
        <v>438</v>
      </c>
      <c r="K52" s="2" t="s">
        <v>28</v>
      </c>
      <c r="L52" s="2" t="s">
        <v>439</v>
      </c>
      <c r="M52" s="3" t="s">
        <v>440</v>
      </c>
      <c r="N52" s="2" t="s">
        <v>32</v>
      </c>
      <c r="O52" s="2" t="s">
        <v>433</v>
      </c>
      <c r="P52" s="2" t="s">
        <v>28</v>
      </c>
      <c r="Q52" s="2" t="s">
        <v>441</v>
      </c>
      <c r="R52" s="2" t="s">
        <v>32</v>
      </c>
      <c r="S52" s="2" t="s">
        <v>85</v>
      </c>
      <c r="T52" s="3" t="s">
        <v>442</v>
      </c>
      <c r="V52" s="2" t="s">
        <v>32</v>
      </c>
      <c r="W52" s="2" t="s">
        <v>131</v>
      </c>
      <c r="X52" s="3" t="s">
        <v>443</v>
      </c>
    </row>
    <row r="53" spans="1:25" ht="22.5" customHeight="1" x14ac:dyDescent="0.2">
      <c r="A53" s="4">
        <v>45816.553849351854</v>
      </c>
      <c r="B53" s="17" t="s">
        <v>22</v>
      </c>
      <c r="C53" s="5" t="s">
        <v>444</v>
      </c>
      <c r="D53" s="5" t="s">
        <v>64</v>
      </c>
      <c r="E53" s="5" t="s">
        <v>743</v>
      </c>
      <c r="F53" s="5" t="s">
        <v>25</v>
      </c>
      <c r="G53" s="5">
        <v>5</v>
      </c>
      <c r="H53" s="5" t="s">
        <v>445</v>
      </c>
      <c r="I53" s="5" t="s">
        <v>28</v>
      </c>
      <c r="J53" s="5" t="s">
        <v>446</v>
      </c>
      <c r="K53" s="5" t="s">
        <v>32</v>
      </c>
      <c r="L53" s="5" t="s">
        <v>446</v>
      </c>
      <c r="M53" s="6" t="s">
        <v>447</v>
      </c>
      <c r="N53" s="5" t="s">
        <v>32</v>
      </c>
      <c r="O53" s="5" t="s">
        <v>246</v>
      </c>
      <c r="P53" s="5" t="s">
        <v>28</v>
      </c>
      <c r="Q53" s="5" t="s">
        <v>448</v>
      </c>
      <c r="R53" s="5" t="s">
        <v>28</v>
      </c>
      <c r="S53" s="5">
        <v>2</v>
      </c>
      <c r="T53" s="6" t="s">
        <v>449</v>
      </c>
      <c r="U53" s="5" t="s">
        <v>450</v>
      </c>
      <c r="V53" s="5" t="s">
        <v>28</v>
      </c>
      <c r="X53" s="6" t="s">
        <v>451</v>
      </c>
      <c r="Y53" s="5" t="s">
        <v>452</v>
      </c>
    </row>
    <row r="54" spans="1:25" ht="22.5" customHeight="1" x14ac:dyDescent="0.2">
      <c r="A54" s="1">
        <v>45816.561081689812</v>
      </c>
      <c r="B54" s="16" t="s">
        <v>157</v>
      </c>
      <c r="C54" s="2" t="s">
        <v>444</v>
      </c>
      <c r="D54" s="2" t="s">
        <v>64</v>
      </c>
      <c r="E54" s="2" t="s">
        <v>744</v>
      </c>
      <c r="F54" s="2" t="s">
        <v>89</v>
      </c>
      <c r="G54" s="2">
        <v>2</v>
      </c>
      <c r="H54" s="2" t="s">
        <v>453</v>
      </c>
      <c r="I54" s="2" t="s">
        <v>32</v>
      </c>
      <c r="J54" s="2" t="s">
        <v>454</v>
      </c>
      <c r="K54" s="2" t="s">
        <v>32</v>
      </c>
      <c r="L54" s="2" t="s">
        <v>455</v>
      </c>
      <c r="M54" s="3" t="s">
        <v>456</v>
      </c>
      <c r="N54" s="2" t="s">
        <v>32</v>
      </c>
      <c r="O54" s="2" t="s">
        <v>457</v>
      </c>
      <c r="P54" s="2" t="s">
        <v>28</v>
      </c>
      <c r="Q54" s="2" t="s">
        <v>458</v>
      </c>
      <c r="R54" s="2" t="s">
        <v>32</v>
      </c>
      <c r="S54" s="2" t="s">
        <v>87</v>
      </c>
      <c r="T54" s="3" t="s">
        <v>459</v>
      </c>
      <c r="U54" s="2" t="s">
        <v>87</v>
      </c>
      <c r="V54" s="2" t="s">
        <v>32</v>
      </c>
      <c r="W54" s="2" t="s">
        <v>460</v>
      </c>
      <c r="X54" s="3" t="s">
        <v>461</v>
      </c>
    </row>
    <row r="55" spans="1:25" ht="22.5" customHeight="1" x14ac:dyDescent="0.2">
      <c r="A55" s="4">
        <v>45816.568995624999</v>
      </c>
      <c r="B55" s="17" t="s">
        <v>104</v>
      </c>
      <c r="C55" s="5" t="s">
        <v>444</v>
      </c>
      <c r="D55" s="5" t="s">
        <v>64</v>
      </c>
      <c r="E55" s="5" t="s">
        <v>726</v>
      </c>
      <c r="F55" s="5" t="s">
        <v>65</v>
      </c>
      <c r="G55" s="5">
        <v>4</v>
      </c>
      <c r="H55" s="5" t="s">
        <v>243</v>
      </c>
      <c r="I55" s="5" t="s">
        <v>28</v>
      </c>
      <c r="J55" s="5" t="s">
        <v>462</v>
      </c>
      <c r="K55" s="5" t="s">
        <v>28</v>
      </c>
      <c r="L55" s="5" t="s">
        <v>463</v>
      </c>
      <c r="M55" s="6" t="s">
        <v>464</v>
      </c>
      <c r="N55" s="5" t="s">
        <v>28</v>
      </c>
      <c r="O55" s="5" t="s">
        <v>465</v>
      </c>
      <c r="P55" s="5" t="s">
        <v>28</v>
      </c>
      <c r="Q55" s="5" t="s">
        <v>243</v>
      </c>
      <c r="R55" s="5" t="s">
        <v>28</v>
      </c>
      <c r="S55" s="5">
        <v>2</v>
      </c>
      <c r="T55" s="6" t="s">
        <v>466</v>
      </c>
      <c r="V55" s="5" t="s">
        <v>28</v>
      </c>
      <c r="X55" s="6" t="s">
        <v>467</v>
      </c>
      <c r="Y55" s="5" t="s">
        <v>468</v>
      </c>
    </row>
    <row r="56" spans="1:25" ht="22.5" customHeight="1" x14ac:dyDescent="0.2">
      <c r="A56" s="1">
        <v>45830.556762280088</v>
      </c>
      <c r="B56" s="16" t="s">
        <v>22</v>
      </c>
      <c r="C56" s="2" t="s">
        <v>444</v>
      </c>
      <c r="D56" s="2" t="s">
        <v>98</v>
      </c>
      <c r="E56" s="2" t="s">
        <v>721</v>
      </c>
      <c r="F56" s="2" t="s">
        <v>25</v>
      </c>
      <c r="G56" s="2">
        <v>5</v>
      </c>
      <c r="H56" s="2" t="s">
        <v>445</v>
      </c>
      <c r="I56" s="2" t="s">
        <v>28</v>
      </c>
      <c r="J56" s="2" t="s">
        <v>469</v>
      </c>
      <c r="K56" s="2" t="s">
        <v>32</v>
      </c>
      <c r="L56" s="2" t="s">
        <v>469</v>
      </c>
      <c r="M56" s="3" t="s">
        <v>470</v>
      </c>
      <c r="N56" s="2" t="s">
        <v>32</v>
      </c>
      <c r="O56" s="2" t="s">
        <v>246</v>
      </c>
      <c r="P56" s="2" t="s">
        <v>150</v>
      </c>
      <c r="R56" s="2" t="s">
        <v>28</v>
      </c>
      <c r="S56" s="2">
        <v>3</v>
      </c>
      <c r="T56" s="3" t="s">
        <v>471</v>
      </c>
      <c r="V56" s="2" t="s">
        <v>28</v>
      </c>
      <c r="X56" s="3" t="s">
        <v>472</v>
      </c>
      <c r="Y56" s="2" t="s">
        <v>473</v>
      </c>
    </row>
    <row r="57" spans="1:25" ht="22.5" customHeight="1" x14ac:dyDescent="0.2">
      <c r="A57" s="4">
        <v>45839.4216462037</v>
      </c>
      <c r="B57" s="17" t="s">
        <v>50</v>
      </c>
      <c r="C57" s="5" t="s">
        <v>444</v>
      </c>
      <c r="D57" s="5" t="s">
        <v>64</v>
      </c>
      <c r="E57" s="5" t="s">
        <v>732</v>
      </c>
      <c r="F57" s="5" t="s">
        <v>25</v>
      </c>
      <c r="G57" s="5">
        <v>5</v>
      </c>
      <c r="H57" s="5" t="s">
        <v>256</v>
      </c>
      <c r="I57" s="5" t="s">
        <v>28</v>
      </c>
      <c r="J57" s="5" t="s">
        <v>474</v>
      </c>
      <c r="K57" s="5" t="s">
        <v>28</v>
      </c>
      <c r="L57" s="5" t="s">
        <v>475</v>
      </c>
      <c r="M57" s="5" t="s">
        <v>476</v>
      </c>
      <c r="N57" s="5" t="s">
        <v>28</v>
      </c>
      <c r="P57" s="5" t="s">
        <v>28</v>
      </c>
      <c r="R57" s="5" t="s">
        <v>28</v>
      </c>
      <c r="T57" s="6" t="s">
        <v>477</v>
      </c>
      <c r="V57" s="5" t="s">
        <v>28</v>
      </c>
      <c r="X57" s="6" t="s">
        <v>478</v>
      </c>
    </row>
    <row r="58" spans="1:25" ht="22.5" customHeight="1" x14ac:dyDescent="0.2">
      <c r="A58" s="1">
        <v>45839.431458217594</v>
      </c>
      <c r="B58" s="16" t="s">
        <v>50</v>
      </c>
      <c r="C58" s="2" t="s">
        <v>444</v>
      </c>
      <c r="D58" s="2" t="s">
        <v>24</v>
      </c>
      <c r="E58" s="2" t="s">
        <v>732</v>
      </c>
      <c r="F58" s="2" t="s">
        <v>25</v>
      </c>
      <c r="G58" s="2">
        <v>5</v>
      </c>
      <c r="H58" s="2" t="s">
        <v>410</v>
      </c>
      <c r="I58" s="2" t="s">
        <v>28</v>
      </c>
      <c r="J58" s="2" t="s">
        <v>479</v>
      </c>
      <c r="K58" s="2" t="s">
        <v>28</v>
      </c>
      <c r="L58" s="2" t="s">
        <v>480</v>
      </c>
      <c r="M58" s="2" t="s">
        <v>481</v>
      </c>
      <c r="N58" s="2" t="s">
        <v>28</v>
      </c>
      <c r="P58" s="2" t="s">
        <v>28</v>
      </c>
      <c r="R58" s="2" t="s">
        <v>28</v>
      </c>
      <c r="T58" s="3" t="s">
        <v>482</v>
      </c>
      <c r="V58" s="2" t="s">
        <v>28</v>
      </c>
      <c r="X58" s="3" t="s">
        <v>483</v>
      </c>
    </row>
    <row r="59" spans="1:25" ht="22.5" customHeight="1" x14ac:dyDescent="0.2">
      <c r="A59" s="4">
        <v>45839.456708854166</v>
      </c>
      <c r="B59" s="17" t="s">
        <v>50</v>
      </c>
      <c r="C59" s="5" t="s">
        <v>444</v>
      </c>
      <c r="D59" s="5" t="s">
        <v>98</v>
      </c>
      <c r="E59" s="5" t="s">
        <v>732</v>
      </c>
      <c r="F59" s="5" t="s">
        <v>25</v>
      </c>
      <c r="G59" s="5">
        <v>5</v>
      </c>
      <c r="H59" s="5" t="s">
        <v>410</v>
      </c>
      <c r="I59" s="5" t="s">
        <v>28</v>
      </c>
      <c r="J59" s="5" t="s">
        <v>484</v>
      </c>
      <c r="K59" s="5" t="s">
        <v>28</v>
      </c>
      <c r="L59" s="5" t="s">
        <v>485</v>
      </c>
      <c r="M59" s="6" t="s">
        <v>486</v>
      </c>
      <c r="N59" s="5" t="s">
        <v>28</v>
      </c>
      <c r="P59" s="5" t="s">
        <v>28</v>
      </c>
      <c r="R59" s="5" t="s">
        <v>28</v>
      </c>
      <c r="T59" s="6" t="s">
        <v>487</v>
      </c>
      <c r="V59" s="5" t="s">
        <v>28</v>
      </c>
      <c r="X59" s="6" t="s">
        <v>488</v>
      </c>
    </row>
    <row r="60" spans="1:25" ht="22.5" customHeight="1" x14ac:dyDescent="0.2">
      <c r="A60" s="1">
        <v>45839.462799363428</v>
      </c>
      <c r="B60" s="16" t="s">
        <v>62</v>
      </c>
      <c r="C60" s="2" t="s">
        <v>444</v>
      </c>
      <c r="D60" s="2" t="s">
        <v>64</v>
      </c>
      <c r="E60" s="2" t="s">
        <v>748</v>
      </c>
      <c r="F60" s="2" t="s">
        <v>65</v>
      </c>
      <c r="G60" s="2">
        <v>6</v>
      </c>
      <c r="H60" s="2" t="s">
        <v>259</v>
      </c>
      <c r="I60" s="2" t="s">
        <v>32</v>
      </c>
      <c r="J60" s="2" t="s">
        <v>489</v>
      </c>
      <c r="K60" s="2" t="s">
        <v>32</v>
      </c>
      <c r="L60" s="2" t="s">
        <v>308</v>
      </c>
      <c r="M60" s="3" t="s">
        <v>490</v>
      </c>
      <c r="N60" s="2" t="s">
        <v>32</v>
      </c>
      <c r="O60" s="2" t="s">
        <v>491</v>
      </c>
      <c r="P60" s="2" t="s">
        <v>28</v>
      </c>
      <c r="Q60" s="2" t="s">
        <v>492</v>
      </c>
      <c r="R60" s="2" t="s">
        <v>32</v>
      </c>
      <c r="S60" s="2" t="s">
        <v>308</v>
      </c>
      <c r="T60" s="3" t="s">
        <v>493</v>
      </c>
      <c r="V60" s="2" t="s">
        <v>32</v>
      </c>
      <c r="X60" s="3" t="s">
        <v>494</v>
      </c>
    </row>
    <row r="61" spans="1:25" ht="22.5" customHeight="1" x14ac:dyDescent="0.2">
      <c r="A61" s="4">
        <v>45839.472574085652</v>
      </c>
      <c r="B61" s="17" t="s">
        <v>62</v>
      </c>
      <c r="C61" s="5" t="s">
        <v>444</v>
      </c>
      <c r="D61" s="5" t="s">
        <v>24</v>
      </c>
      <c r="E61" s="2" t="s">
        <v>748</v>
      </c>
      <c r="F61" s="5" t="s">
        <v>65</v>
      </c>
      <c r="G61" s="5">
        <v>4</v>
      </c>
      <c r="H61" s="5" t="s">
        <v>495</v>
      </c>
      <c r="I61" s="5" t="s">
        <v>28</v>
      </c>
      <c r="J61" s="5" t="s">
        <v>496</v>
      </c>
      <c r="K61" s="5" t="s">
        <v>28</v>
      </c>
      <c r="L61" s="5" t="s">
        <v>497</v>
      </c>
      <c r="M61" s="5" t="s">
        <v>498</v>
      </c>
      <c r="N61" s="5" t="s">
        <v>32</v>
      </c>
      <c r="P61" s="5" t="s">
        <v>28</v>
      </c>
      <c r="Q61" s="5" t="s">
        <v>499</v>
      </c>
      <c r="R61" s="5" t="s">
        <v>32</v>
      </c>
      <c r="S61" s="5" t="s">
        <v>308</v>
      </c>
      <c r="T61" s="6" t="s">
        <v>500</v>
      </c>
      <c r="V61" s="5" t="s">
        <v>32</v>
      </c>
      <c r="X61" s="6" t="s">
        <v>501</v>
      </c>
    </row>
    <row r="62" spans="1:25" ht="22.5" customHeight="1" x14ac:dyDescent="0.2">
      <c r="A62" s="1">
        <v>45839.481982881945</v>
      </c>
      <c r="B62" s="16" t="s">
        <v>62</v>
      </c>
      <c r="C62" s="2" t="s">
        <v>444</v>
      </c>
      <c r="D62" s="2" t="s">
        <v>355</v>
      </c>
      <c r="E62" s="2" t="s">
        <v>748</v>
      </c>
      <c r="F62" s="2" t="s">
        <v>65</v>
      </c>
      <c r="G62" s="2">
        <v>6</v>
      </c>
      <c r="H62" s="2" t="s">
        <v>259</v>
      </c>
      <c r="I62" s="2" t="s">
        <v>28</v>
      </c>
      <c r="J62" s="2" t="s">
        <v>502</v>
      </c>
      <c r="K62" s="2" t="s">
        <v>32</v>
      </c>
      <c r="L62" s="2" t="s">
        <v>503</v>
      </c>
      <c r="M62" s="3" t="s">
        <v>504</v>
      </c>
      <c r="N62" s="2" t="s">
        <v>32</v>
      </c>
      <c r="O62" s="2" t="s">
        <v>151</v>
      </c>
      <c r="P62" s="2" t="s">
        <v>150</v>
      </c>
      <c r="Q62" s="2" t="s">
        <v>151</v>
      </c>
      <c r="R62" s="2" t="s">
        <v>32</v>
      </c>
      <c r="S62" s="2" t="s">
        <v>308</v>
      </c>
      <c r="T62" s="3" t="s">
        <v>505</v>
      </c>
      <c r="V62" s="2" t="s">
        <v>32</v>
      </c>
      <c r="W62" s="2" t="s">
        <v>425</v>
      </c>
      <c r="X62" s="3" t="s">
        <v>506</v>
      </c>
    </row>
    <row r="63" spans="1:25" ht="22.5" customHeight="1" x14ac:dyDescent="0.2">
      <c r="A63" s="4">
        <v>45840.411558148146</v>
      </c>
      <c r="B63" s="17" t="s">
        <v>181</v>
      </c>
      <c r="C63" s="5" t="s">
        <v>444</v>
      </c>
      <c r="D63" s="5" t="s">
        <v>64</v>
      </c>
      <c r="E63" s="5" t="s">
        <v>731</v>
      </c>
      <c r="F63" s="5" t="s">
        <v>25</v>
      </c>
      <c r="G63" s="5">
        <v>5</v>
      </c>
      <c r="H63" s="5" t="s">
        <v>507</v>
      </c>
      <c r="I63" s="5" t="s">
        <v>28</v>
      </c>
      <c r="J63" s="5" t="s">
        <v>508</v>
      </c>
      <c r="K63" s="5" t="s">
        <v>28</v>
      </c>
      <c r="L63" s="5" t="s">
        <v>509</v>
      </c>
      <c r="M63" s="6" t="s">
        <v>510</v>
      </c>
      <c r="N63" s="5" t="s">
        <v>28</v>
      </c>
      <c r="O63" s="5" t="s">
        <v>87</v>
      </c>
      <c r="P63" s="5" t="s">
        <v>28</v>
      </c>
      <c r="Q63" s="5" t="s">
        <v>511</v>
      </c>
      <c r="R63" s="5" t="s">
        <v>32</v>
      </c>
      <c r="T63" s="6" t="s">
        <v>512</v>
      </c>
      <c r="V63" s="5" t="s">
        <v>28</v>
      </c>
      <c r="X63" s="6" t="s">
        <v>513</v>
      </c>
    </row>
    <row r="64" spans="1:25" ht="22.5" customHeight="1" x14ac:dyDescent="0.2">
      <c r="A64" s="1">
        <v>45840.480925833333</v>
      </c>
      <c r="B64" s="16" t="s">
        <v>181</v>
      </c>
      <c r="C64" s="2" t="s">
        <v>444</v>
      </c>
      <c r="D64" s="2" t="s">
        <v>24</v>
      </c>
      <c r="E64" s="2" t="s">
        <v>731</v>
      </c>
      <c r="F64" s="2" t="s">
        <v>25</v>
      </c>
      <c r="G64" s="2">
        <v>5</v>
      </c>
      <c r="H64" s="2" t="s">
        <v>514</v>
      </c>
      <c r="I64" s="2" t="s">
        <v>32</v>
      </c>
      <c r="J64" s="2" t="s">
        <v>154</v>
      </c>
      <c r="K64" s="2" t="s">
        <v>32</v>
      </c>
      <c r="L64" s="2" t="s">
        <v>406</v>
      </c>
      <c r="M64" s="3" t="s">
        <v>515</v>
      </c>
      <c r="N64" s="2" t="s">
        <v>28</v>
      </c>
      <c r="P64" s="2" t="s">
        <v>150</v>
      </c>
      <c r="R64" s="2" t="s">
        <v>32</v>
      </c>
      <c r="S64" s="2" t="s">
        <v>87</v>
      </c>
      <c r="T64" s="3" t="s">
        <v>516</v>
      </c>
      <c r="V64" s="2" t="s">
        <v>28</v>
      </c>
      <c r="W64" s="2" t="s">
        <v>87</v>
      </c>
      <c r="X64" s="3" t="s">
        <v>517</v>
      </c>
    </row>
    <row r="65" spans="1:25" ht="22.5" customHeight="1" x14ac:dyDescent="0.2">
      <c r="A65" s="4">
        <v>45840.519995787035</v>
      </c>
      <c r="B65" s="17" t="s">
        <v>181</v>
      </c>
      <c r="C65" s="5" t="s">
        <v>444</v>
      </c>
      <c r="D65" s="5" t="s">
        <v>98</v>
      </c>
      <c r="E65" s="5" t="s">
        <v>731</v>
      </c>
      <c r="F65" s="5" t="s">
        <v>25</v>
      </c>
      <c r="G65" s="5">
        <v>5</v>
      </c>
      <c r="H65" s="5" t="s">
        <v>518</v>
      </c>
      <c r="I65" s="5" t="s">
        <v>28</v>
      </c>
      <c r="J65" s="5" t="s">
        <v>519</v>
      </c>
      <c r="K65" s="5" t="s">
        <v>32</v>
      </c>
      <c r="L65" s="5" t="s">
        <v>520</v>
      </c>
      <c r="M65" s="6" t="s">
        <v>521</v>
      </c>
      <c r="N65" s="5" t="s">
        <v>28</v>
      </c>
      <c r="O65" s="5" t="s">
        <v>87</v>
      </c>
      <c r="P65" s="5" t="s">
        <v>28</v>
      </c>
      <c r="Q65" s="5" t="s">
        <v>522</v>
      </c>
      <c r="R65" s="5" t="s">
        <v>28</v>
      </c>
      <c r="S65" s="5">
        <v>2</v>
      </c>
      <c r="T65" s="6" t="s">
        <v>523</v>
      </c>
      <c r="V65" s="5" t="s">
        <v>28</v>
      </c>
      <c r="W65" s="5" t="s">
        <v>87</v>
      </c>
      <c r="X65" s="6" t="s">
        <v>524</v>
      </c>
    </row>
    <row r="66" spans="1:25" ht="22.5" customHeight="1" x14ac:dyDescent="0.2">
      <c r="A66" s="1">
        <v>45840.678713437504</v>
      </c>
      <c r="B66" s="16" t="s">
        <v>214</v>
      </c>
      <c r="C66" s="2" t="s">
        <v>444</v>
      </c>
      <c r="D66" s="2" t="s">
        <v>64</v>
      </c>
      <c r="E66" s="2" t="s">
        <v>736</v>
      </c>
      <c r="F66" s="2" t="s">
        <v>89</v>
      </c>
      <c r="G66" s="2">
        <v>6</v>
      </c>
      <c r="H66" s="2" t="s">
        <v>525</v>
      </c>
      <c r="I66" s="2" t="s">
        <v>28</v>
      </c>
      <c r="J66" s="2" t="s">
        <v>526</v>
      </c>
      <c r="K66" s="2" t="s">
        <v>28</v>
      </c>
      <c r="L66" s="2" t="s">
        <v>526</v>
      </c>
      <c r="M66" s="3" t="s">
        <v>527</v>
      </c>
      <c r="N66" s="2" t="s">
        <v>32</v>
      </c>
      <c r="O66" s="2" t="s">
        <v>528</v>
      </c>
      <c r="P66" s="2" t="s">
        <v>28</v>
      </c>
      <c r="Q66" s="2" t="s">
        <v>529</v>
      </c>
      <c r="R66" s="2" t="s">
        <v>32</v>
      </c>
      <c r="T66" s="3" t="s">
        <v>530</v>
      </c>
      <c r="V66" s="2" t="s">
        <v>32</v>
      </c>
      <c r="X66" s="3" t="s">
        <v>531</v>
      </c>
    </row>
    <row r="67" spans="1:25" ht="22.5" customHeight="1" x14ac:dyDescent="0.2">
      <c r="A67" s="4">
        <v>45840.684160138888</v>
      </c>
      <c r="B67" s="17" t="s">
        <v>214</v>
      </c>
      <c r="C67" s="5" t="s">
        <v>444</v>
      </c>
      <c r="D67" s="5" t="s">
        <v>24</v>
      </c>
      <c r="E67" s="5" t="s">
        <v>736</v>
      </c>
      <c r="F67" s="5" t="s">
        <v>89</v>
      </c>
      <c r="G67" s="5">
        <v>6</v>
      </c>
      <c r="H67" s="5" t="s">
        <v>532</v>
      </c>
      <c r="I67" s="5" t="s">
        <v>28</v>
      </c>
      <c r="J67" s="5" t="s">
        <v>533</v>
      </c>
      <c r="K67" s="5" t="s">
        <v>28</v>
      </c>
      <c r="L67" s="5" t="s">
        <v>534</v>
      </c>
      <c r="M67" s="6" t="s">
        <v>535</v>
      </c>
      <c r="N67" s="5" t="s">
        <v>32</v>
      </c>
      <c r="O67" s="5" t="s">
        <v>536</v>
      </c>
      <c r="P67" s="5" t="s">
        <v>28</v>
      </c>
      <c r="Q67" s="5" t="s">
        <v>529</v>
      </c>
      <c r="R67" s="5" t="s">
        <v>32</v>
      </c>
      <c r="T67" s="6" t="s">
        <v>537</v>
      </c>
      <c r="V67" s="5" t="s">
        <v>32</v>
      </c>
      <c r="X67" s="6" t="s">
        <v>538</v>
      </c>
    </row>
    <row r="68" spans="1:25" ht="22.5" customHeight="1" x14ac:dyDescent="0.2">
      <c r="A68" s="1">
        <v>45840.692038460649</v>
      </c>
      <c r="B68" s="16" t="s">
        <v>214</v>
      </c>
      <c r="C68" s="2" t="s">
        <v>444</v>
      </c>
      <c r="D68" s="2" t="s">
        <v>98</v>
      </c>
      <c r="E68" s="2" t="s">
        <v>736</v>
      </c>
      <c r="F68" s="2" t="s">
        <v>89</v>
      </c>
      <c r="G68" s="2">
        <v>6</v>
      </c>
      <c r="H68" s="2" t="s">
        <v>532</v>
      </c>
      <c r="I68" s="2" t="s">
        <v>28</v>
      </c>
      <c r="J68" s="2" t="s">
        <v>539</v>
      </c>
      <c r="K68" s="2" t="s">
        <v>28</v>
      </c>
      <c r="L68" s="2" t="s">
        <v>540</v>
      </c>
      <c r="M68" s="3" t="s">
        <v>541</v>
      </c>
      <c r="N68" s="2" t="s">
        <v>32</v>
      </c>
      <c r="O68" s="2" t="s">
        <v>542</v>
      </c>
      <c r="P68" s="2" t="s">
        <v>28</v>
      </c>
      <c r="Q68" s="2" t="s">
        <v>529</v>
      </c>
      <c r="R68" s="2" t="s">
        <v>32</v>
      </c>
      <c r="T68" s="3" t="s">
        <v>543</v>
      </c>
      <c r="V68" s="2" t="s">
        <v>32</v>
      </c>
      <c r="X68" s="3" t="s">
        <v>544</v>
      </c>
    </row>
    <row r="69" spans="1:25" ht="22.5" customHeight="1" x14ac:dyDescent="0.2">
      <c r="A69" s="4">
        <v>45840.69526231481</v>
      </c>
      <c r="B69" s="17" t="s">
        <v>214</v>
      </c>
      <c r="C69" s="5" t="s">
        <v>444</v>
      </c>
      <c r="D69" s="5" t="s">
        <v>355</v>
      </c>
      <c r="E69" s="5" t="s">
        <v>736</v>
      </c>
      <c r="F69" s="5" t="s">
        <v>89</v>
      </c>
      <c r="G69" s="5">
        <v>6</v>
      </c>
      <c r="H69" s="5" t="s">
        <v>532</v>
      </c>
      <c r="I69" s="5" t="s">
        <v>28</v>
      </c>
      <c r="J69" s="5" t="s">
        <v>545</v>
      </c>
      <c r="K69" s="5" t="s">
        <v>28</v>
      </c>
      <c r="L69" s="5" t="s">
        <v>546</v>
      </c>
      <c r="M69" s="6" t="s">
        <v>547</v>
      </c>
      <c r="N69" s="5" t="s">
        <v>32</v>
      </c>
      <c r="O69" s="5" t="s">
        <v>542</v>
      </c>
      <c r="P69" s="5" t="s">
        <v>28</v>
      </c>
      <c r="Q69" s="5" t="s">
        <v>529</v>
      </c>
      <c r="R69" s="5" t="s">
        <v>32</v>
      </c>
      <c r="T69" s="6" t="s">
        <v>548</v>
      </c>
      <c r="V69" s="5" t="s">
        <v>32</v>
      </c>
      <c r="X69" s="6" t="s">
        <v>549</v>
      </c>
    </row>
    <row r="70" spans="1:25" ht="22.5" customHeight="1" x14ac:dyDescent="0.2">
      <c r="A70" s="1">
        <v>45840.698561875004</v>
      </c>
      <c r="B70" s="16" t="s">
        <v>214</v>
      </c>
      <c r="C70" s="2" t="s">
        <v>444</v>
      </c>
      <c r="D70" s="2" t="s">
        <v>39</v>
      </c>
      <c r="E70" s="2" t="s">
        <v>736</v>
      </c>
      <c r="F70" s="2" t="s">
        <v>89</v>
      </c>
      <c r="G70" s="2">
        <v>6</v>
      </c>
      <c r="H70" s="2" t="s">
        <v>532</v>
      </c>
      <c r="I70" s="2" t="s">
        <v>32</v>
      </c>
      <c r="J70" s="2" t="s">
        <v>550</v>
      </c>
      <c r="K70" s="2" t="s">
        <v>28</v>
      </c>
      <c r="L70" s="2" t="s">
        <v>551</v>
      </c>
      <c r="M70" s="3" t="s">
        <v>552</v>
      </c>
      <c r="N70" s="2" t="s">
        <v>32</v>
      </c>
      <c r="O70" s="2" t="s">
        <v>536</v>
      </c>
      <c r="P70" s="2" t="s">
        <v>28</v>
      </c>
      <c r="Q70" s="2" t="s">
        <v>529</v>
      </c>
      <c r="R70" s="2" t="s">
        <v>32</v>
      </c>
      <c r="T70" s="3" t="s">
        <v>553</v>
      </c>
      <c r="V70" s="2" t="s">
        <v>32</v>
      </c>
      <c r="X70" s="3" t="s">
        <v>554</v>
      </c>
    </row>
    <row r="71" spans="1:25" ht="22.5" customHeight="1" x14ac:dyDescent="0.2">
      <c r="A71" s="4">
        <v>45842.730655717591</v>
      </c>
      <c r="B71" s="17" t="s">
        <v>117</v>
      </c>
      <c r="C71" s="5" t="s">
        <v>444</v>
      </c>
      <c r="D71" s="5" t="s">
        <v>64</v>
      </c>
      <c r="E71" s="5" t="s">
        <v>728</v>
      </c>
      <c r="F71" s="5" t="s">
        <v>25</v>
      </c>
      <c r="G71" s="5">
        <v>5</v>
      </c>
      <c r="H71" s="5" t="s">
        <v>555</v>
      </c>
      <c r="I71" s="5" t="s">
        <v>28</v>
      </c>
      <c r="J71" s="5" t="s">
        <v>556</v>
      </c>
      <c r="K71" s="5" t="s">
        <v>32</v>
      </c>
      <c r="L71" s="5" t="s">
        <v>557</v>
      </c>
      <c r="M71" s="6" t="s">
        <v>558</v>
      </c>
      <c r="N71" s="5" t="s">
        <v>32</v>
      </c>
      <c r="O71" s="5" t="s">
        <v>559</v>
      </c>
      <c r="P71" s="5" t="s">
        <v>28</v>
      </c>
      <c r="Q71" s="5" t="s">
        <v>560</v>
      </c>
      <c r="R71" s="5" t="s">
        <v>28</v>
      </c>
      <c r="S71" s="5">
        <v>1</v>
      </c>
      <c r="T71" s="6" t="s">
        <v>561</v>
      </c>
      <c r="U71" s="5" t="s">
        <v>85</v>
      </c>
      <c r="V71" s="5" t="s">
        <v>28</v>
      </c>
      <c r="X71" s="6" t="s">
        <v>562</v>
      </c>
      <c r="Y71" s="5" t="s">
        <v>85</v>
      </c>
    </row>
    <row r="72" spans="1:25" ht="22.5" customHeight="1" x14ac:dyDescent="0.2">
      <c r="A72" s="1">
        <v>45843.863376354166</v>
      </c>
      <c r="B72" s="16" t="s">
        <v>117</v>
      </c>
      <c r="C72" s="2" t="s">
        <v>444</v>
      </c>
      <c r="D72" s="2" t="s">
        <v>24</v>
      </c>
      <c r="E72" s="2" t="s">
        <v>742</v>
      </c>
      <c r="F72" s="2" t="s">
        <v>25</v>
      </c>
      <c r="G72" s="2">
        <v>2</v>
      </c>
      <c r="H72" s="2" t="s">
        <v>563</v>
      </c>
      <c r="I72" s="2" t="s">
        <v>32</v>
      </c>
      <c r="J72" s="2" t="s">
        <v>32</v>
      </c>
      <c r="K72" s="2" t="s">
        <v>32</v>
      </c>
      <c r="L72" s="2" t="s">
        <v>32</v>
      </c>
      <c r="M72" s="3" t="s">
        <v>564</v>
      </c>
      <c r="N72" s="2" t="s">
        <v>32</v>
      </c>
      <c r="O72" s="2" t="s">
        <v>122</v>
      </c>
      <c r="P72" s="2" t="s">
        <v>28</v>
      </c>
      <c r="Q72" s="2" t="s">
        <v>565</v>
      </c>
      <c r="R72" s="2" t="s">
        <v>28</v>
      </c>
      <c r="S72" s="2">
        <v>1</v>
      </c>
      <c r="T72" s="3" t="s">
        <v>566</v>
      </c>
      <c r="V72" s="2" t="s">
        <v>28</v>
      </c>
      <c r="W72" s="2">
        <v>1</v>
      </c>
      <c r="X72" s="3" t="s">
        <v>567</v>
      </c>
    </row>
    <row r="73" spans="1:25" ht="22.5" customHeight="1" x14ac:dyDescent="0.2">
      <c r="A73" s="4">
        <v>45843.876990300923</v>
      </c>
      <c r="B73" s="17" t="s">
        <v>117</v>
      </c>
      <c r="C73" s="5" t="s">
        <v>444</v>
      </c>
      <c r="D73" s="5" t="s">
        <v>98</v>
      </c>
      <c r="E73" s="5" t="s">
        <v>728</v>
      </c>
      <c r="F73" s="5" t="s">
        <v>25</v>
      </c>
      <c r="G73" s="5">
        <v>5</v>
      </c>
      <c r="H73" s="5" t="s">
        <v>568</v>
      </c>
      <c r="I73" s="5" t="s">
        <v>28</v>
      </c>
      <c r="J73" s="5" t="s">
        <v>569</v>
      </c>
      <c r="K73" s="5" t="s">
        <v>32</v>
      </c>
      <c r="L73" s="5" t="s">
        <v>570</v>
      </c>
      <c r="M73" s="6" t="s">
        <v>571</v>
      </c>
      <c r="N73" s="5" t="s">
        <v>32</v>
      </c>
      <c r="O73" s="5" t="s">
        <v>572</v>
      </c>
      <c r="P73" s="5" t="s">
        <v>150</v>
      </c>
      <c r="R73" s="5" t="s">
        <v>28</v>
      </c>
      <c r="S73" s="5" t="s">
        <v>85</v>
      </c>
      <c r="T73" s="6" t="s">
        <v>573</v>
      </c>
      <c r="V73" s="5" t="s">
        <v>28</v>
      </c>
      <c r="X73" s="6" t="s">
        <v>574</v>
      </c>
    </row>
    <row r="74" spans="1:25" ht="22.5" customHeight="1" x14ac:dyDescent="0.2">
      <c r="A74" s="1">
        <v>45843.884921886573</v>
      </c>
      <c r="B74" s="16" t="s">
        <v>117</v>
      </c>
      <c r="C74" s="2" t="s">
        <v>444</v>
      </c>
      <c r="D74" s="2" t="s">
        <v>355</v>
      </c>
      <c r="E74" s="2" t="s">
        <v>728</v>
      </c>
      <c r="F74" s="2" t="s">
        <v>25</v>
      </c>
      <c r="G74" s="2">
        <v>4</v>
      </c>
      <c r="H74" s="2" t="s">
        <v>575</v>
      </c>
      <c r="I74" s="2" t="s">
        <v>32</v>
      </c>
      <c r="J74" s="2" t="s">
        <v>85</v>
      </c>
      <c r="K74" s="2" t="s">
        <v>32</v>
      </c>
      <c r="L74" s="2" t="s">
        <v>85</v>
      </c>
      <c r="M74" s="3" t="s">
        <v>576</v>
      </c>
      <c r="N74" s="2" t="s">
        <v>32</v>
      </c>
      <c r="O74" s="2" t="s">
        <v>577</v>
      </c>
      <c r="P74" s="2" t="s">
        <v>150</v>
      </c>
      <c r="R74" s="2" t="s">
        <v>28</v>
      </c>
      <c r="S74" s="2" t="s">
        <v>87</v>
      </c>
      <c r="T74" s="3" t="s">
        <v>578</v>
      </c>
      <c r="V74" s="2" t="s">
        <v>28</v>
      </c>
      <c r="X74" s="3" t="s">
        <v>579</v>
      </c>
    </row>
    <row r="75" spans="1:25" ht="22.5" customHeight="1" x14ac:dyDescent="0.2">
      <c r="A75" s="4">
        <v>45920.859170532407</v>
      </c>
      <c r="B75" s="17" t="s">
        <v>74</v>
      </c>
      <c r="C75" s="5" t="s">
        <v>580</v>
      </c>
      <c r="D75" s="5" t="s">
        <v>98</v>
      </c>
      <c r="E75" s="5" t="s">
        <v>745</v>
      </c>
      <c r="F75" s="5" t="s">
        <v>89</v>
      </c>
      <c r="G75" s="5">
        <v>2</v>
      </c>
      <c r="H75" s="5" t="s">
        <v>581</v>
      </c>
      <c r="I75" s="5" t="s">
        <v>28</v>
      </c>
      <c r="J75" s="5" t="s">
        <v>582</v>
      </c>
      <c r="K75" s="5" t="s">
        <v>28</v>
      </c>
      <c r="L75" s="5" t="s">
        <v>583</v>
      </c>
      <c r="M75" s="6" t="s">
        <v>584</v>
      </c>
      <c r="N75" s="5" t="s">
        <v>32</v>
      </c>
      <c r="O75" s="5" t="s">
        <v>585</v>
      </c>
      <c r="P75" s="5" t="s">
        <v>28</v>
      </c>
      <c r="Q75" s="5" t="s">
        <v>586</v>
      </c>
      <c r="R75" s="5" t="s">
        <v>32</v>
      </c>
      <c r="T75" s="6" t="s">
        <v>587</v>
      </c>
      <c r="V75" s="5" t="s">
        <v>32</v>
      </c>
      <c r="X75" s="6" t="s">
        <v>588</v>
      </c>
    </row>
    <row r="76" spans="1:25" ht="22.5" customHeight="1" x14ac:dyDescent="0.2">
      <c r="A76" s="1">
        <v>45921.544197222218</v>
      </c>
      <c r="B76" s="16" t="s">
        <v>327</v>
      </c>
      <c r="C76" s="2" t="s">
        <v>580</v>
      </c>
      <c r="D76" s="2" t="s">
        <v>98</v>
      </c>
      <c r="E76" s="2" t="s">
        <v>738</v>
      </c>
      <c r="F76" s="2" t="s">
        <v>65</v>
      </c>
      <c r="G76" s="2">
        <v>3</v>
      </c>
      <c r="H76" s="2" t="s">
        <v>589</v>
      </c>
      <c r="I76" s="2" t="s">
        <v>28</v>
      </c>
      <c r="J76" s="2" t="s">
        <v>590</v>
      </c>
      <c r="K76" s="2" t="s">
        <v>28</v>
      </c>
      <c r="L76" s="2" t="s">
        <v>591</v>
      </c>
      <c r="M76" s="3" t="s">
        <v>592</v>
      </c>
      <c r="N76" s="2" t="s">
        <v>32</v>
      </c>
      <c r="O76" s="2" t="s">
        <v>593</v>
      </c>
      <c r="P76" s="2" t="s">
        <v>28</v>
      </c>
      <c r="Q76" s="2" t="s">
        <v>594</v>
      </c>
      <c r="R76" s="2" t="s">
        <v>28</v>
      </c>
      <c r="S76" s="2">
        <v>1</v>
      </c>
      <c r="T76" s="3" t="s">
        <v>595</v>
      </c>
      <c r="V76" s="2" t="s">
        <v>28</v>
      </c>
      <c r="X76" s="3" t="s">
        <v>596</v>
      </c>
    </row>
    <row r="77" spans="1:25" ht="22.5" customHeight="1" x14ac:dyDescent="0.2">
      <c r="A77" s="4">
        <v>45921.578883518523</v>
      </c>
      <c r="B77" s="17" t="s">
        <v>38</v>
      </c>
      <c r="C77" s="5" t="s">
        <v>580</v>
      </c>
      <c r="D77" s="5" t="s">
        <v>24</v>
      </c>
      <c r="E77" s="5" t="s">
        <v>746</v>
      </c>
      <c r="F77" s="5" t="s">
        <v>89</v>
      </c>
      <c r="G77" s="5">
        <v>5</v>
      </c>
      <c r="H77" s="5" t="s">
        <v>597</v>
      </c>
      <c r="I77" s="5" t="s">
        <v>28</v>
      </c>
      <c r="J77" s="5" t="s">
        <v>598</v>
      </c>
      <c r="K77" s="5" t="s">
        <v>28</v>
      </c>
      <c r="L77" s="5" t="s">
        <v>599</v>
      </c>
      <c r="M77" s="6" t="s">
        <v>600</v>
      </c>
      <c r="N77" s="5" t="s">
        <v>32</v>
      </c>
      <c r="O77" s="5" t="s">
        <v>593</v>
      </c>
      <c r="P77" s="5" t="s">
        <v>28</v>
      </c>
      <c r="Q77" s="5" t="s">
        <v>601</v>
      </c>
      <c r="R77" s="5" t="s">
        <v>32</v>
      </c>
      <c r="T77" s="6" t="s">
        <v>602</v>
      </c>
      <c r="V77" s="5" t="s">
        <v>32</v>
      </c>
      <c r="W77" s="5" t="s">
        <v>603</v>
      </c>
      <c r="X77" s="6" t="s">
        <v>604</v>
      </c>
    </row>
    <row r="78" spans="1:25" ht="22.5" customHeight="1" x14ac:dyDescent="0.2">
      <c r="A78" s="1">
        <v>45928.537505300927</v>
      </c>
      <c r="B78" s="16" t="s">
        <v>50</v>
      </c>
      <c r="C78" s="2" t="s">
        <v>580</v>
      </c>
      <c r="D78" s="2" t="s">
        <v>355</v>
      </c>
      <c r="E78" s="2" t="s">
        <v>723</v>
      </c>
      <c r="F78" s="2" t="s">
        <v>25</v>
      </c>
      <c r="G78" s="2">
        <v>1</v>
      </c>
      <c r="H78" s="2" t="s">
        <v>406</v>
      </c>
      <c r="I78" s="2" t="s">
        <v>28</v>
      </c>
      <c r="J78" s="2" t="s">
        <v>605</v>
      </c>
      <c r="K78" s="2" t="s">
        <v>28</v>
      </c>
      <c r="L78" s="2" t="s">
        <v>606</v>
      </c>
      <c r="M78" s="3" t="s">
        <v>607</v>
      </c>
      <c r="N78" s="2" t="s">
        <v>28</v>
      </c>
      <c r="P78" s="2" t="s">
        <v>28</v>
      </c>
      <c r="R78" s="2" t="s">
        <v>28</v>
      </c>
      <c r="T78" s="3" t="s">
        <v>608</v>
      </c>
      <c r="V78" s="2" t="s">
        <v>28</v>
      </c>
      <c r="X78" s="3" t="s">
        <v>609</v>
      </c>
    </row>
    <row r="79" spans="1:25" ht="22.5" customHeight="1" x14ac:dyDescent="0.2">
      <c r="A79" s="4">
        <v>45928.537932534724</v>
      </c>
      <c r="B79" s="17" t="s">
        <v>181</v>
      </c>
      <c r="C79" s="5" t="s">
        <v>580</v>
      </c>
      <c r="D79" s="5" t="s">
        <v>355</v>
      </c>
      <c r="E79" s="5" t="s">
        <v>731</v>
      </c>
      <c r="F79" s="5" t="s">
        <v>25</v>
      </c>
      <c r="G79" s="5">
        <v>6</v>
      </c>
      <c r="H79" s="5" t="s">
        <v>410</v>
      </c>
      <c r="I79" s="5" t="s">
        <v>28</v>
      </c>
      <c r="J79" s="5" t="s">
        <v>610</v>
      </c>
      <c r="K79" s="5" t="s">
        <v>28</v>
      </c>
      <c r="L79" s="5" t="s">
        <v>507</v>
      </c>
      <c r="M79" s="6" t="s">
        <v>611</v>
      </c>
      <c r="N79" s="5" t="s">
        <v>28</v>
      </c>
      <c r="O79" s="5" t="s">
        <v>87</v>
      </c>
      <c r="P79" s="5" t="s">
        <v>28</v>
      </c>
      <c r="Q79" s="5" t="s">
        <v>612</v>
      </c>
      <c r="R79" s="5" t="s">
        <v>32</v>
      </c>
      <c r="S79" s="5" t="s">
        <v>87</v>
      </c>
      <c r="T79" s="6" t="s">
        <v>613</v>
      </c>
      <c r="U79" s="5" t="s">
        <v>87</v>
      </c>
      <c r="V79" s="5" t="s">
        <v>32</v>
      </c>
      <c r="W79" s="5" t="s">
        <v>154</v>
      </c>
      <c r="X79" s="6" t="s">
        <v>614</v>
      </c>
    </row>
    <row r="80" spans="1:25" ht="22.5" customHeight="1" x14ac:dyDescent="0.2">
      <c r="A80" s="1">
        <v>45928.540073773147</v>
      </c>
      <c r="B80" s="16" t="s">
        <v>157</v>
      </c>
      <c r="C80" s="2" t="s">
        <v>580</v>
      </c>
      <c r="D80" s="2" t="s">
        <v>355</v>
      </c>
      <c r="E80" s="2" t="s">
        <v>730</v>
      </c>
      <c r="F80" s="2" t="s">
        <v>89</v>
      </c>
      <c r="G80" s="2">
        <v>2</v>
      </c>
      <c r="H80" s="2" t="s">
        <v>105</v>
      </c>
      <c r="I80" s="2" t="s">
        <v>32</v>
      </c>
      <c r="J80" s="2" t="s">
        <v>85</v>
      </c>
      <c r="K80" s="2" t="s">
        <v>32</v>
      </c>
      <c r="L80" s="2" t="s">
        <v>85</v>
      </c>
      <c r="M80" s="3" t="s">
        <v>615</v>
      </c>
      <c r="N80" s="2" t="s">
        <v>32</v>
      </c>
      <c r="P80" s="2" t="s">
        <v>150</v>
      </c>
      <c r="R80" s="2" t="s">
        <v>32</v>
      </c>
      <c r="T80" s="3" t="s">
        <v>616</v>
      </c>
      <c r="V80" s="2" t="s">
        <v>32</v>
      </c>
      <c r="X80" s="3" t="s">
        <v>617</v>
      </c>
    </row>
    <row r="81" spans="1:25" ht="22.5" customHeight="1" x14ac:dyDescent="0.2">
      <c r="A81" s="4">
        <v>45928.55797454861</v>
      </c>
      <c r="B81" s="17" t="s">
        <v>117</v>
      </c>
      <c r="C81" s="5" t="s">
        <v>580</v>
      </c>
      <c r="D81" s="5" t="s">
        <v>98</v>
      </c>
      <c r="E81" s="5" t="s">
        <v>728</v>
      </c>
      <c r="F81" s="5" t="s">
        <v>25</v>
      </c>
      <c r="G81" s="5">
        <v>4</v>
      </c>
      <c r="H81" s="5" t="s">
        <v>618</v>
      </c>
      <c r="I81" s="5" t="s">
        <v>32</v>
      </c>
      <c r="J81" s="5" t="s">
        <v>239</v>
      </c>
      <c r="K81" s="5" t="s">
        <v>28</v>
      </c>
      <c r="L81" s="5" t="s">
        <v>619</v>
      </c>
      <c r="M81" s="6" t="s">
        <v>620</v>
      </c>
      <c r="N81" s="5" t="s">
        <v>32</v>
      </c>
      <c r="O81" s="5" t="s">
        <v>621</v>
      </c>
      <c r="P81" s="5" t="s">
        <v>28</v>
      </c>
      <c r="Q81" s="5" t="s">
        <v>622</v>
      </c>
      <c r="R81" s="5" t="s">
        <v>32</v>
      </c>
      <c r="S81" s="5" t="s">
        <v>85</v>
      </c>
      <c r="T81" s="6" t="s">
        <v>623</v>
      </c>
      <c r="V81" s="5" t="s">
        <v>32</v>
      </c>
      <c r="W81" s="5" t="s">
        <v>624</v>
      </c>
      <c r="X81" s="6" t="s">
        <v>625</v>
      </c>
    </row>
    <row r="82" spans="1:25" ht="22.5" customHeight="1" x14ac:dyDescent="0.2">
      <c r="A82" s="1">
        <v>45928.568918969904</v>
      </c>
      <c r="B82" s="16" t="s">
        <v>327</v>
      </c>
      <c r="C82" s="2" t="s">
        <v>580</v>
      </c>
      <c r="D82" s="2" t="s">
        <v>355</v>
      </c>
      <c r="E82" s="2" t="s">
        <v>739</v>
      </c>
      <c r="F82" s="2" t="s">
        <v>65</v>
      </c>
      <c r="G82" s="2">
        <v>3</v>
      </c>
      <c r="H82" s="2" t="s">
        <v>626</v>
      </c>
      <c r="I82" s="2" t="s">
        <v>28</v>
      </c>
      <c r="J82" s="2" t="s">
        <v>627</v>
      </c>
      <c r="K82" s="2" t="s">
        <v>28</v>
      </c>
      <c r="L82" s="2" t="s">
        <v>627</v>
      </c>
      <c r="M82" s="3" t="s">
        <v>628</v>
      </c>
      <c r="N82" s="2" t="s">
        <v>32</v>
      </c>
      <c r="O82" s="2" t="s">
        <v>629</v>
      </c>
      <c r="P82" s="2" t="s">
        <v>28</v>
      </c>
      <c r="Q82" s="2" t="s">
        <v>630</v>
      </c>
      <c r="R82" s="2" t="s">
        <v>28</v>
      </c>
      <c r="S82" s="2">
        <v>1</v>
      </c>
      <c r="T82" s="3" t="s">
        <v>631</v>
      </c>
      <c r="V82" s="2" t="s">
        <v>28</v>
      </c>
      <c r="X82" s="3" t="s">
        <v>632</v>
      </c>
    </row>
    <row r="83" spans="1:25" ht="22.5" customHeight="1" x14ac:dyDescent="0.2">
      <c r="A83" s="4">
        <v>45928.56959914352</v>
      </c>
      <c r="B83" s="17" t="s">
        <v>117</v>
      </c>
      <c r="C83" s="5" t="s">
        <v>580</v>
      </c>
      <c r="D83" s="5" t="s">
        <v>355</v>
      </c>
      <c r="E83" s="5" t="s">
        <v>728</v>
      </c>
      <c r="F83" s="5" t="s">
        <v>25</v>
      </c>
      <c r="G83" s="5">
        <v>5</v>
      </c>
      <c r="H83" s="5" t="s">
        <v>618</v>
      </c>
      <c r="I83" s="5" t="s">
        <v>32</v>
      </c>
      <c r="J83" s="5" t="s">
        <v>32</v>
      </c>
      <c r="K83" s="5" t="s">
        <v>28</v>
      </c>
      <c r="L83" s="5" t="s">
        <v>633</v>
      </c>
      <c r="M83" s="6" t="s">
        <v>634</v>
      </c>
      <c r="N83" s="5" t="s">
        <v>32</v>
      </c>
      <c r="O83" s="5" t="s">
        <v>131</v>
      </c>
      <c r="P83" s="5" t="s">
        <v>28</v>
      </c>
      <c r="Q83" s="5" t="s">
        <v>635</v>
      </c>
      <c r="R83" s="5" t="s">
        <v>32</v>
      </c>
      <c r="S83" s="5" t="s">
        <v>636</v>
      </c>
      <c r="T83" s="6" t="s">
        <v>637</v>
      </c>
      <c r="U83" s="5" t="s">
        <v>85</v>
      </c>
      <c r="V83" s="5" t="s">
        <v>32</v>
      </c>
      <c r="W83" s="5" t="s">
        <v>624</v>
      </c>
      <c r="X83" s="6" t="s">
        <v>638</v>
      </c>
      <c r="Y83" s="5" t="s">
        <v>85</v>
      </c>
    </row>
    <row r="84" spans="1:25" ht="22.5" customHeight="1" x14ac:dyDescent="0.2">
      <c r="A84" s="1">
        <v>45928.578057499995</v>
      </c>
      <c r="B84" s="16" t="s">
        <v>74</v>
      </c>
      <c r="C84" s="2" t="s">
        <v>580</v>
      </c>
      <c r="D84" s="2" t="s">
        <v>355</v>
      </c>
      <c r="E84" s="2" t="s">
        <v>724</v>
      </c>
      <c r="F84" s="2" t="s">
        <v>89</v>
      </c>
      <c r="G84" s="2">
        <v>2</v>
      </c>
      <c r="H84" s="2" t="s">
        <v>105</v>
      </c>
      <c r="I84" s="2" t="s">
        <v>28</v>
      </c>
      <c r="J84" s="2" t="s">
        <v>639</v>
      </c>
      <c r="K84" s="2" t="s">
        <v>28</v>
      </c>
      <c r="L84" s="2" t="s">
        <v>640</v>
      </c>
      <c r="M84" s="3" t="s">
        <v>641</v>
      </c>
      <c r="N84" s="2" t="s">
        <v>32</v>
      </c>
      <c r="O84" s="2" t="s">
        <v>642</v>
      </c>
      <c r="P84" s="2" t="s">
        <v>28</v>
      </c>
      <c r="R84" s="2" t="s">
        <v>32</v>
      </c>
      <c r="T84" s="3" t="s">
        <v>643</v>
      </c>
      <c r="V84" s="2" t="s">
        <v>28</v>
      </c>
      <c r="X84" s="3" t="s">
        <v>644</v>
      </c>
    </row>
    <row r="85" spans="1:25" ht="22.5" customHeight="1" x14ac:dyDescent="0.2">
      <c r="A85" s="4">
        <v>45949.36950050926</v>
      </c>
      <c r="B85" s="17" t="s">
        <v>50</v>
      </c>
      <c r="C85" s="5" t="s">
        <v>645</v>
      </c>
      <c r="D85" s="5" t="s">
        <v>98</v>
      </c>
      <c r="E85" s="5" t="s">
        <v>732</v>
      </c>
      <c r="F85" s="5" t="s">
        <v>25</v>
      </c>
      <c r="G85" s="5">
        <v>4</v>
      </c>
      <c r="H85" s="5" t="s">
        <v>410</v>
      </c>
      <c r="I85" s="5" t="s">
        <v>28</v>
      </c>
      <c r="J85" s="5" t="s">
        <v>646</v>
      </c>
      <c r="K85" s="5" t="s">
        <v>28</v>
      </c>
      <c r="L85" s="5" t="s">
        <v>647</v>
      </c>
      <c r="M85" s="5" t="s">
        <v>648</v>
      </c>
      <c r="N85" s="5" t="s">
        <v>32</v>
      </c>
      <c r="O85" s="5" t="s">
        <v>649</v>
      </c>
      <c r="P85" s="5" t="s">
        <v>150</v>
      </c>
      <c r="R85" s="5" t="s">
        <v>32</v>
      </c>
      <c r="T85" s="6" t="s">
        <v>650</v>
      </c>
      <c r="V85" s="5" t="s">
        <v>28</v>
      </c>
      <c r="X85" s="6" t="s">
        <v>651</v>
      </c>
    </row>
    <row r="86" spans="1:25" ht="22.5" customHeight="1" x14ac:dyDescent="0.2">
      <c r="A86" s="1">
        <v>45970.552153912038</v>
      </c>
      <c r="B86" s="16" t="s">
        <v>157</v>
      </c>
      <c r="C86" s="2" t="s">
        <v>652</v>
      </c>
      <c r="D86" s="2" t="s">
        <v>24</v>
      </c>
      <c r="E86" s="2" t="s">
        <v>730</v>
      </c>
      <c r="F86" s="2" t="s">
        <v>89</v>
      </c>
      <c r="G86" s="2">
        <v>4</v>
      </c>
      <c r="H86" s="2" t="s">
        <v>653</v>
      </c>
      <c r="I86" s="2" t="s">
        <v>32</v>
      </c>
      <c r="J86" s="2" t="s">
        <v>654</v>
      </c>
      <c r="K86" s="2" t="s">
        <v>28</v>
      </c>
      <c r="L86" s="2" t="s">
        <v>655</v>
      </c>
      <c r="M86" s="3" t="s">
        <v>656</v>
      </c>
      <c r="N86" s="2" t="s">
        <v>32</v>
      </c>
      <c r="O86" s="2" t="s">
        <v>657</v>
      </c>
      <c r="P86" s="2" t="s">
        <v>28</v>
      </c>
      <c r="Q86" s="2" t="s">
        <v>658</v>
      </c>
      <c r="R86" s="2" t="s">
        <v>32</v>
      </c>
      <c r="S86" s="2" t="s">
        <v>87</v>
      </c>
      <c r="T86" s="3" t="s">
        <v>659</v>
      </c>
      <c r="U86" s="2" t="s">
        <v>87</v>
      </c>
      <c r="V86" s="2" t="s">
        <v>32</v>
      </c>
      <c r="W86" s="2" t="s">
        <v>660</v>
      </c>
      <c r="X86" s="3" t="s">
        <v>661</v>
      </c>
      <c r="Y86" s="2" t="s">
        <v>87</v>
      </c>
    </row>
    <row r="87" spans="1:25" ht="22.5" customHeight="1" x14ac:dyDescent="0.2">
      <c r="A87" s="4">
        <v>45970.555340185187</v>
      </c>
      <c r="B87" s="17" t="s">
        <v>181</v>
      </c>
      <c r="C87" s="5" t="s">
        <v>652</v>
      </c>
      <c r="D87" s="5" t="s">
        <v>64</v>
      </c>
      <c r="E87" s="5" t="s">
        <v>747</v>
      </c>
      <c r="F87" s="5" t="s">
        <v>25</v>
      </c>
      <c r="G87" s="5">
        <v>6</v>
      </c>
      <c r="H87" s="5" t="s">
        <v>507</v>
      </c>
      <c r="I87" s="5" t="s">
        <v>28</v>
      </c>
      <c r="J87" s="5" t="s">
        <v>662</v>
      </c>
      <c r="K87" s="5" t="s">
        <v>28</v>
      </c>
      <c r="L87" s="5" t="s">
        <v>663</v>
      </c>
      <c r="M87" s="6" t="s">
        <v>664</v>
      </c>
      <c r="N87" s="5" t="s">
        <v>28</v>
      </c>
      <c r="O87" s="5" t="s">
        <v>87</v>
      </c>
      <c r="P87" s="5" t="s">
        <v>28</v>
      </c>
      <c r="Q87" s="5" t="s">
        <v>507</v>
      </c>
      <c r="R87" s="5" t="s">
        <v>28</v>
      </c>
      <c r="S87" s="5">
        <v>3</v>
      </c>
      <c r="T87" s="6" t="s">
        <v>665</v>
      </c>
      <c r="U87" s="5" t="s">
        <v>87</v>
      </c>
      <c r="V87" s="5" t="s">
        <v>28</v>
      </c>
      <c r="W87" s="5" t="s">
        <v>87</v>
      </c>
      <c r="X87" s="6" t="s">
        <v>666</v>
      </c>
      <c r="Y87" s="5" t="s">
        <v>87</v>
      </c>
    </row>
    <row r="88" spans="1:25" ht="22.5" customHeight="1" x14ac:dyDescent="0.2">
      <c r="A88" s="1">
        <v>45970.572084675921</v>
      </c>
      <c r="B88" s="16" t="s">
        <v>62</v>
      </c>
      <c r="C88" s="2" t="s">
        <v>652</v>
      </c>
      <c r="D88" s="2" t="s">
        <v>64</v>
      </c>
      <c r="E88" s="2" t="s">
        <v>748</v>
      </c>
      <c r="F88" s="2" t="s">
        <v>65</v>
      </c>
      <c r="G88" s="2">
        <v>6</v>
      </c>
      <c r="H88" s="2" t="s">
        <v>28</v>
      </c>
      <c r="I88" s="2" t="s">
        <v>32</v>
      </c>
      <c r="J88" s="2" t="s">
        <v>667</v>
      </c>
      <c r="K88" s="2" t="s">
        <v>28</v>
      </c>
      <c r="L88" s="2" t="s">
        <v>260</v>
      </c>
      <c r="M88" s="3" t="s">
        <v>668</v>
      </c>
      <c r="N88" s="2" t="s">
        <v>32</v>
      </c>
      <c r="O88" s="2" t="s">
        <v>32</v>
      </c>
      <c r="P88" s="2" t="s">
        <v>150</v>
      </c>
      <c r="Q88" s="2" t="s">
        <v>151</v>
      </c>
      <c r="R88" s="2" t="s">
        <v>32</v>
      </c>
      <c r="S88" s="2" t="s">
        <v>32</v>
      </c>
      <c r="T88" s="3" t="s">
        <v>669</v>
      </c>
      <c r="V88" s="2" t="s">
        <v>28</v>
      </c>
      <c r="X88" s="3" t="s">
        <v>670</v>
      </c>
    </row>
    <row r="89" spans="1:25" ht="22.5" customHeight="1" x14ac:dyDescent="0.2">
      <c r="A89" s="4">
        <v>45970.593289710647</v>
      </c>
      <c r="B89" s="17" t="s">
        <v>327</v>
      </c>
      <c r="C89" s="5" t="s">
        <v>652</v>
      </c>
      <c r="D89" s="5" t="s">
        <v>24</v>
      </c>
      <c r="E89" s="5" t="s">
        <v>749</v>
      </c>
      <c r="F89" s="5" t="s">
        <v>65</v>
      </c>
      <c r="G89" s="5">
        <v>4</v>
      </c>
      <c r="H89" s="5" t="s">
        <v>671</v>
      </c>
      <c r="I89" s="5" t="s">
        <v>28</v>
      </c>
      <c r="J89" s="5" t="s">
        <v>672</v>
      </c>
      <c r="K89" s="5" t="s">
        <v>28</v>
      </c>
      <c r="L89" s="5" t="s">
        <v>673</v>
      </c>
      <c r="M89" s="6" t="s">
        <v>674</v>
      </c>
      <c r="N89" s="5" t="s">
        <v>32</v>
      </c>
      <c r="P89" s="5" t="s">
        <v>28</v>
      </c>
      <c r="Q89" s="5" t="s">
        <v>675</v>
      </c>
      <c r="R89" s="5" t="s">
        <v>28</v>
      </c>
      <c r="S89" s="5">
        <v>2</v>
      </c>
      <c r="T89" s="6" t="s">
        <v>676</v>
      </c>
      <c r="V89" s="5" t="s">
        <v>28</v>
      </c>
      <c r="X89" s="6" t="s">
        <v>677</v>
      </c>
    </row>
    <row r="90" spans="1:25" ht="22.5" customHeight="1" x14ac:dyDescent="0.2">
      <c r="A90" s="1">
        <v>45970.610209641207</v>
      </c>
      <c r="B90" s="16" t="s">
        <v>50</v>
      </c>
      <c r="C90" s="2" t="s">
        <v>652</v>
      </c>
      <c r="D90" s="2" t="s">
        <v>64</v>
      </c>
      <c r="E90" s="2" t="s">
        <v>732</v>
      </c>
      <c r="F90" s="2" t="s">
        <v>25</v>
      </c>
      <c r="G90" s="2">
        <v>4</v>
      </c>
      <c r="H90" s="2" t="s">
        <v>410</v>
      </c>
      <c r="I90" s="2" t="s">
        <v>28</v>
      </c>
      <c r="J90" s="2" t="s">
        <v>678</v>
      </c>
      <c r="K90" s="2" t="s">
        <v>28</v>
      </c>
      <c r="L90" s="2" t="s">
        <v>679</v>
      </c>
      <c r="M90" s="2" t="s">
        <v>680</v>
      </c>
      <c r="N90" s="2" t="s">
        <v>28</v>
      </c>
      <c r="P90" s="2" t="s">
        <v>150</v>
      </c>
      <c r="R90" s="2" t="s">
        <v>28</v>
      </c>
      <c r="T90" s="3" t="s">
        <v>681</v>
      </c>
      <c r="V90" s="2" t="s">
        <v>28</v>
      </c>
      <c r="X90" s="3" t="s">
        <v>682</v>
      </c>
    </row>
    <row r="91" spans="1:25" ht="22.5" customHeight="1" x14ac:dyDescent="0.2">
      <c r="A91" s="4">
        <v>45970.638565694448</v>
      </c>
      <c r="B91" s="17" t="s">
        <v>74</v>
      </c>
      <c r="C91" s="5" t="s">
        <v>652</v>
      </c>
      <c r="D91" s="5" t="s">
        <v>24</v>
      </c>
      <c r="E91" s="5" t="s">
        <v>750</v>
      </c>
      <c r="F91" s="5" t="s">
        <v>89</v>
      </c>
      <c r="G91" s="5">
        <v>3</v>
      </c>
      <c r="H91" s="5" t="s">
        <v>105</v>
      </c>
      <c r="I91" s="5" t="s">
        <v>28</v>
      </c>
      <c r="J91" s="5" t="s">
        <v>683</v>
      </c>
      <c r="K91" s="5" t="s">
        <v>28</v>
      </c>
      <c r="L91" s="5" t="s">
        <v>684</v>
      </c>
      <c r="M91" s="6" t="s">
        <v>685</v>
      </c>
      <c r="N91" s="5" t="s">
        <v>32</v>
      </c>
      <c r="O91" s="5" t="s">
        <v>686</v>
      </c>
      <c r="P91" s="5" t="s">
        <v>150</v>
      </c>
      <c r="R91" s="5" t="s">
        <v>28</v>
      </c>
      <c r="S91" s="5">
        <v>4</v>
      </c>
      <c r="T91" s="6" t="s">
        <v>687</v>
      </c>
      <c r="V91" s="5" t="s">
        <v>28</v>
      </c>
      <c r="X91" s="6" t="s">
        <v>688</v>
      </c>
    </row>
    <row r="92" spans="1:25" ht="22.5" customHeight="1" x14ac:dyDescent="0.2">
      <c r="A92" s="1">
        <v>45970.642198796297</v>
      </c>
      <c r="B92" s="16" t="s">
        <v>117</v>
      </c>
      <c r="C92" s="2" t="s">
        <v>652</v>
      </c>
      <c r="D92" s="2" t="s">
        <v>64</v>
      </c>
      <c r="E92" s="2" t="s">
        <v>728</v>
      </c>
      <c r="F92" s="2" t="s">
        <v>25</v>
      </c>
      <c r="G92" s="2">
        <v>3</v>
      </c>
      <c r="H92" s="2" t="s">
        <v>689</v>
      </c>
      <c r="I92" s="2" t="s">
        <v>32</v>
      </c>
      <c r="J92" s="2" t="s">
        <v>322</v>
      </c>
      <c r="K92" s="2" t="s">
        <v>32</v>
      </c>
      <c r="L92" s="2" t="s">
        <v>72</v>
      </c>
      <c r="M92" s="3" t="s">
        <v>690</v>
      </c>
      <c r="N92" s="2" t="s">
        <v>28</v>
      </c>
      <c r="P92" s="2" t="s">
        <v>150</v>
      </c>
      <c r="Q92" s="2" t="s">
        <v>691</v>
      </c>
      <c r="R92" s="2" t="s">
        <v>32</v>
      </c>
      <c r="S92" s="2" t="s">
        <v>85</v>
      </c>
      <c r="T92" s="3" t="s">
        <v>692</v>
      </c>
      <c r="U92" s="2" t="s">
        <v>85</v>
      </c>
      <c r="V92" s="2" t="s">
        <v>32</v>
      </c>
      <c r="W92" s="2" t="s">
        <v>693</v>
      </c>
      <c r="X92" s="3" t="s">
        <v>694</v>
      </c>
    </row>
    <row r="93" spans="1:25" ht="22.5" customHeight="1" x14ac:dyDescent="0.2">
      <c r="A93" s="4">
        <v>45970.643809895832</v>
      </c>
      <c r="B93" s="17" t="s">
        <v>695</v>
      </c>
      <c r="C93" s="5" t="s">
        <v>652</v>
      </c>
      <c r="D93" s="5" t="s">
        <v>24</v>
      </c>
      <c r="E93" s="5" t="s">
        <v>722</v>
      </c>
      <c r="F93" s="5" t="s">
        <v>89</v>
      </c>
      <c r="G93" s="5">
        <v>6</v>
      </c>
      <c r="H93" s="5" t="s">
        <v>696</v>
      </c>
      <c r="I93" s="5" t="s">
        <v>28</v>
      </c>
      <c r="J93" s="5" t="s">
        <v>697</v>
      </c>
      <c r="K93" s="5" t="s">
        <v>28</v>
      </c>
      <c r="L93" s="5" t="s">
        <v>698</v>
      </c>
      <c r="M93" s="6" t="s">
        <v>699</v>
      </c>
      <c r="N93" s="5" t="s">
        <v>28</v>
      </c>
      <c r="P93" s="5" t="s">
        <v>28</v>
      </c>
      <c r="Q93" s="5" t="s">
        <v>700</v>
      </c>
      <c r="R93" s="5" t="s">
        <v>28</v>
      </c>
      <c r="S93" s="5">
        <v>3</v>
      </c>
      <c r="T93" s="6" t="s">
        <v>701</v>
      </c>
      <c r="V93" s="5" t="s">
        <v>28</v>
      </c>
      <c r="X93" s="6" t="s">
        <v>702</v>
      </c>
      <c r="Y93" s="5" t="s">
        <v>703</v>
      </c>
    </row>
  </sheetData>
  <sheetProtection algorithmName="SHA-512" hashValue="xH0XKJSX0KGd+NQAR3P7LgKRioRm1bXcdJXqjGnHtFl11wA6jQH4Ut1oxfHfpj4cM6QzcX8+xk8NzdhyVJBdxw==" saltValue="jnv652ff5N42Fxa7ICMq3g==" spinCount="100000" sheet="1" objects="1" scenarios="1"/>
  <hyperlinks>
    <hyperlink ref="J2" r:id="rId1" xr:uid="{00000000-0004-0000-0000-000000000000}"/>
    <hyperlink ref="L2" r:id="rId2" xr:uid="{00000000-0004-0000-0000-000001000000}"/>
    <hyperlink ref="M2" r:id="rId3" xr:uid="{00000000-0004-0000-0000-000002000000}"/>
    <hyperlink ref="T2" r:id="rId4" xr:uid="{00000000-0004-0000-0000-000003000000}"/>
    <hyperlink ref="X2" r:id="rId5" xr:uid="{00000000-0004-0000-0000-000004000000}"/>
    <hyperlink ref="J3" r:id="rId6" xr:uid="{00000000-0004-0000-0000-000005000000}"/>
    <hyperlink ref="L3" r:id="rId7" xr:uid="{00000000-0004-0000-0000-000006000000}"/>
    <hyperlink ref="M3" r:id="rId8" xr:uid="{00000000-0004-0000-0000-000007000000}"/>
    <hyperlink ref="T3" r:id="rId9" xr:uid="{00000000-0004-0000-0000-000008000000}"/>
    <hyperlink ref="X3" r:id="rId10" xr:uid="{00000000-0004-0000-0000-000009000000}"/>
    <hyperlink ref="L4" r:id="rId11" xr:uid="{00000000-0004-0000-0000-00000A000000}"/>
    <hyperlink ref="M4" r:id="rId12" xr:uid="{00000000-0004-0000-0000-00000B000000}"/>
    <hyperlink ref="T4" r:id="rId13" xr:uid="{00000000-0004-0000-0000-00000C000000}"/>
    <hyperlink ref="X4" r:id="rId14" xr:uid="{00000000-0004-0000-0000-00000D000000}"/>
    <hyperlink ref="J5" r:id="rId15" xr:uid="{00000000-0004-0000-0000-00000E000000}"/>
    <hyperlink ref="L5" r:id="rId16" xr:uid="{00000000-0004-0000-0000-00000F000000}"/>
    <hyperlink ref="M5" r:id="rId17" xr:uid="{00000000-0004-0000-0000-000010000000}"/>
    <hyperlink ref="T5" r:id="rId18" xr:uid="{00000000-0004-0000-0000-000011000000}"/>
    <hyperlink ref="X5" r:id="rId19" xr:uid="{00000000-0004-0000-0000-000012000000}"/>
    <hyperlink ref="J6" r:id="rId20" xr:uid="{00000000-0004-0000-0000-000013000000}"/>
    <hyperlink ref="L6" r:id="rId21" xr:uid="{00000000-0004-0000-0000-000014000000}"/>
    <hyperlink ref="M6" r:id="rId22" xr:uid="{00000000-0004-0000-0000-000015000000}"/>
    <hyperlink ref="T6" r:id="rId23" xr:uid="{00000000-0004-0000-0000-000016000000}"/>
    <hyperlink ref="X6" r:id="rId24" xr:uid="{00000000-0004-0000-0000-000017000000}"/>
    <hyperlink ref="J7" r:id="rId25" xr:uid="{00000000-0004-0000-0000-000018000000}"/>
    <hyperlink ref="L7" r:id="rId26" xr:uid="{00000000-0004-0000-0000-000019000000}"/>
    <hyperlink ref="M7" r:id="rId27" xr:uid="{00000000-0004-0000-0000-00001A000000}"/>
    <hyperlink ref="T7" r:id="rId28" xr:uid="{00000000-0004-0000-0000-00001B000000}"/>
    <hyperlink ref="X7" r:id="rId29" xr:uid="{00000000-0004-0000-0000-00001C000000}"/>
    <hyperlink ref="J8" r:id="rId30" xr:uid="{00000000-0004-0000-0000-00001D000000}"/>
    <hyperlink ref="L8" r:id="rId31" xr:uid="{00000000-0004-0000-0000-00001E000000}"/>
    <hyperlink ref="M8" r:id="rId32" xr:uid="{00000000-0004-0000-0000-00001F000000}"/>
    <hyperlink ref="T8" r:id="rId33" xr:uid="{00000000-0004-0000-0000-000020000000}"/>
    <hyperlink ref="X8" r:id="rId34" xr:uid="{00000000-0004-0000-0000-000021000000}"/>
    <hyperlink ref="J9" r:id="rId35" xr:uid="{00000000-0004-0000-0000-000022000000}"/>
    <hyperlink ref="L9" r:id="rId36" xr:uid="{00000000-0004-0000-0000-000023000000}"/>
    <hyperlink ref="M9" r:id="rId37" xr:uid="{00000000-0004-0000-0000-000024000000}"/>
    <hyperlink ref="T9" r:id="rId38" xr:uid="{00000000-0004-0000-0000-000025000000}"/>
    <hyperlink ref="X9" r:id="rId39" xr:uid="{00000000-0004-0000-0000-000026000000}"/>
    <hyperlink ref="M10" r:id="rId40" xr:uid="{00000000-0004-0000-0000-000027000000}"/>
    <hyperlink ref="T10" r:id="rId41" xr:uid="{00000000-0004-0000-0000-000028000000}"/>
    <hyperlink ref="X10" r:id="rId42" xr:uid="{00000000-0004-0000-0000-000029000000}"/>
    <hyperlink ref="T11" r:id="rId43" xr:uid="{00000000-0004-0000-0000-00002A000000}"/>
    <hyperlink ref="X11" r:id="rId44" xr:uid="{00000000-0004-0000-0000-00002B000000}"/>
    <hyperlink ref="M12" r:id="rId45" xr:uid="{00000000-0004-0000-0000-00002C000000}"/>
    <hyperlink ref="T12" r:id="rId46" xr:uid="{00000000-0004-0000-0000-00002D000000}"/>
    <hyperlink ref="X12" r:id="rId47" xr:uid="{00000000-0004-0000-0000-00002E000000}"/>
    <hyperlink ref="M13" r:id="rId48" xr:uid="{00000000-0004-0000-0000-00002F000000}"/>
    <hyperlink ref="T13" r:id="rId49" xr:uid="{00000000-0004-0000-0000-000030000000}"/>
    <hyperlink ref="X13" r:id="rId50" xr:uid="{00000000-0004-0000-0000-000031000000}"/>
    <hyperlink ref="M14" r:id="rId51" xr:uid="{00000000-0004-0000-0000-000032000000}"/>
    <hyperlink ref="T14" r:id="rId52" xr:uid="{00000000-0004-0000-0000-000033000000}"/>
    <hyperlink ref="X14" r:id="rId53" xr:uid="{00000000-0004-0000-0000-000034000000}"/>
    <hyperlink ref="M15" r:id="rId54" xr:uid="{00000000-0004-0000-0000-000035000000}"/>
    <hyperlink ref="T15" r:id="rId55" xr:uid="{00000000-0004-0000-0000-000036000000}"/>
    <hyperlink ref="X15" r:id="rId56" xr:uid="{00000000-0004-0000-0000-000037000000}"/>
    <hyperlink ref="M16" r:id="rId57" xr:uid="{00000000-0004-0000-0000-000038000000}"/>
    <hyperlink ref="T16" r:id="rId58" xr:uid="{00000000-0004-0000-0000-000039000000}"/>
    <hyperlink ref="X16" r:id="rId59" xr:uid="{00000000-0004-0000-0000-00003A000000}"/>
    <hyperlink ref="M17" r:id="rId60" xr:uid="{00000000-0004-0000-0000-00003B000000}"/>
    <hyperlink ref="T17" r:id="rId61" xr:uid="{00000000-0004-0000-0000-00003C000000}"/>
    <hyperlink ref="X17" r:id="rId62" xr:uid="{00000000-0004-0000-0000-00003D000000}"/>
    <hyperlink ref="M18" r:id="rId63" xr:uid="{00000000-0004-0000-0000-00003E000000}"/>
    <hyperlink ref="T18" r:id="rId64" xr:uid="{00000000-0004-0000-0000-00003F000000}"/>
    <hyperlink ref="X18" r:id="rId65" xr:uid="{00000000-0004-0000-0000-000040000000}"/>
    <hyperlink ref="M19" r:id="rId66" xr:uid="{00000000-0004-0000-0000-000041000000}"/>
    <hyperlink ref="T19" r:id="rId67" xr:uid="{00000000-0004-0000-0000-000042000000}"/>
    <hyperlink ref="X19" r:id="rId68" xr:uid="{00000000-0004-0000-0000-000043000000}"/>
    <hyperlink ref="M20" r:id="rId69" xr:uid="{00000000-0004-0000-0000-000044000000}"/>
    <hyperlink ref="T20" r:id="rId70" xr:uid="{00000000-0004-0000-0000-000045000000}"/>
    <hyperlink ref="X20" r:id="rId71" xr:uid="{00000000-0004-0000-0000-000046000000}"/>
    <hyperlink ref="M21" r:id="rId72" xr:uid="{00000000-0004-0000-0000-000047000000}"/>
    <hyperlink ref="T21" r:id="rId73" xr:uid="{00000000-0004-0000-0000-000048000000}"/>
    <hyperlink ref="X21" r:id="rId74" xr:uid="{00000000-0004-0000-0000-000049000000}"/>
    <hyperlink ref="M22" r:id="rId75" xr:uid="{00000000-0004-0000-0000-00004A000000}"/>
    <hyperlink ref="T22" r:id="rId76" xr:uid="{00000000-0004-0000-0000-00004B000000}"/>
    <hyperlink ref="X22" r:id="rId77" xr:uid="{00000000-0004-0000-0000-00004C000000}"/>
    <hyperlink ref="T23" r:id="rId78" xr:uid="{00000000-0004-0000-0000-00004D000000}"/>
    <hyperlink ref="X23" r:id="rId79" xr:uid="{00000000-0004-0000-0000-00004E000000}"/>
    <hyperlink ref="M24" r:id="rId80" xr:uid="{00000000-0004-0000-0000-00004F000000}"/>
    <hyperlink ref="T24" r:id="rId81" xr:uid="{00000000-0004-0000-0000-000050000000}"/>
    <hyperlink ref="X24" r:id="rId82" xr:uid="{00000000-0004-0000-0000-000051000000}"/>
    <hyperlink ref="M25" r:id="rId83" xr:uid="{00000000-0004-0000-0000-000052000000}"/>
    <hyperlink ref="T25" r:id="rId84" xr:uid="{00000000-0004-0000-0000-000053000000}"/>
    <hyperlink ref="X25" r:id="rId85" xr:uid="{00000000-0004-0000-0000-000054000000}"/>
    <hyperlink ref="T26" r:id="rId86" xr:uid="{00000000-0004-0000-0000-000055000000}"/>
    <hyperlink ref="X26" r:id="rId87" xr:uid="{00000000-0004-0000-0000-000056000000}"/>
    <hyperlink ref="M27" r:id="rId88" xr:uid="{00000000-0004-0000-0000-000057000000}"/>
    <hyperlink ref="T27" r:id="rId89" xr:uid="{00000000-0004-0000-0000-000058000000}"/>
    <hyperlink ref="X27" r:id="rId90" xr:uid="{00000000-0004-0000-0000-000059000000}"/>
    <hyperlink ref="M28" r:id="rId91" xr:uid="{00000000-0004-0000-0000-00005A000000}"/>
    <hyperlink ref="T28" r:id="rId92" xr:uid="{00000000-0004-0000-0000-00005B000000}"/>
    <hyperlink ref="X28" r:id="rId93" xr:uid="{00000000-0004-0000-0000-00005C000000}"/>
    <hyperlink ref="M29" r:id="rId94" xr:uid="{00000000-0004-0000-0000-00005D000000}"/>
    <hyperlink ref="T29" r:id="rId95" xr:uid="{00000000-0004-0000-0000-00005E000000}"/>
    <hyperlink ref="X29" r:id="rId96" xr:uid="{00000000-0004-0000-0000-00005F000000}"/>
    <hyperlink ref="M30" r:id="rId97" xr:uid="{00000000-0004-0000-0000-000060000000}"/>
    <hyperlink ref="T30" r:id="rId98" xr:uid="{00000000-0004-0000-0000-000061000000}"/>
    <hyperlink ref="X30" r:id="rId99" xr:uid="{00000000-0004-0000-0000-000062000000}"/>
    <hyperlink ref="M31" r:id="rId100" xr:uid="{00000000-0004-0000-0000-000063000000}"/>
    <hyperlink ref="T31" r:id="rId101" xr:uid="{00000000-0004-0000-0000-000064000000}"/>
    <hyperlink ref="X31" r:id="rId102" xr:uid="{00000000-0004-0000-0000-000065000000}"/>
    <hyperlink ref="M32" r:id="rId103" xr:uid="{00000000-0004-0000-0000-000066000000}"/>
    <hyperlink ref="T32" r:id="rId104" xr:uid="{00000000-0004-0000-0000-000067000000}"/>
    <hyperlink ref="X32" r:id="rId105" xr:uid="{00000000-0004-0000-0000-000068000000}"/>
    <hyperlink ref="M33" r:id="rId106" xr:uid="{00000000-0004-0000-0000-000069000000}"/>
    <hyperlink ref="T33" r:id="rId107" xr:uid="{00000000-0004-0000-0000-00006A000000}"/>
    <hyperlink ref="X33" r:id="rId108" xr:uid="{00000000-0004-0000-0000-00006B000000}"/>
    <hyperlink ref="M34" r:id="rId109" xr:uid="{00000000-0004-0000-0000-00006C000000}"/>
    <hyperlink ref="T34" r:id="rId110" xr:uid="{00000000-0004-0000-0000-00006D000000}"/>
    <hyperlink ref="X34" r:id="rId111" xr:uid="{00000000-0004-0000-0000-00006E000000}"/>
    <hyperlink ref="M35" r:id="rId112" xr:uid="{00000000-0004-0000-0000-00006F000000}"/>
    <hyperlink ref="T35" r:id="rId113" xr:uid="{00000000-0004-0000-0000-000070000000}"/>
    <hyperlink ref="X35" r:id="rId114" xr:uid="{00000000-0004-0000-0000-000071000000}"/>
    <hyperlink ref="M36" r:id="rId115" xr:uid="{00000000-0004-0000-0000-000072000000}"/>
    <hyperlink ref="T36" r:id="rId116" xr:uid="{00000000-0004-0000-0000-000073000000}"/>
    <hyperlink ref="X36" r:id="rId117" xr:uid="{00000000-0004-0000-0000-000074000000}"/>
    <hyperlink ref="M37" r:id="rId118" xr:uid="{00000000-0004-0000-0000-000075000000}"/>
    <hyperlink ref="T37" r:id="rId119" xr:uid="{00000000-0004-0000-0000-000076000000}"/>
    <hyperlink ref="X37" r:id="rId120" xr:uid="{00000000-0004-0000-0000-000077000000}"/>
    <hyperlink ref="M38" r:id="rId121" xr:uid="{00000000-0004-0000-0000-000078000000}"/>
    <hyperlink ref="T38" r:id="rId122" xr:uid="{00000000-0004-0000-0000-000079000000}"/>
    <hyperlink ref="X38" r:id="rId123" xr:uid="{00000000-0004-0000-0000-00007A000000}"/>
    <hyperlink ref="M39" r:id="rId124" xr:uid="{00000000-0004-0000-0000-00007B000000}"/>
    <hyperlink ref="T39" r:id="rId125" xr:uid="{00000000-0004-0000-0000-00007C000000}"/>
    <hyperlink ref="X39" r:id="rId126" xr:uid="{00000000-0004-0000-0000-00007D000000}"/>
    <hyperlink ref="T40" r:id="rId127" xr:uid="{00000000-0004-0000-0000-00007E000000}"/>
    <hyperlink ref="X40" r:id="rId128" xr:uid="{00000000-0004-0000-0000-00007F000000}"/>
    <hyperlink ref="M41" r:id="rId129" xr:uid="{00000000-0004-0000-0000-000080000000}"/>
    <hyperlink ref="T41" r:id="rId130" xr:uid="{00000000-0004-0000-0000-000081000000}"/>
    <hyperlink ref="X41" r:id="rId131" xr:uid="{00000000-0004-0000-0000-000082000000}"/>
    <hyperlink ref="M42" r:id="rId132" xr:uid="{00000000-0004-0000-0000-000083000000}"/>
    <hyperlink ref="T42" r:id="rId133" xr:uid="{00000000-0004-0000-0000-000084000000}"/>
    <hyperlink ref="X42" r:id="rId134" xr:uid="{00000000-0004-0000-0000-000085000000}"/>
    <hyperlink ref="M43" r:id="rId135" xr:uid="{00000000-0004-0000-0000-000086000000}"/>
    <hyperlink ref="T43" r:id="rId136" xr:uid="{00000000-0004-0000-0000-000087000000}"/>
    <hyperlink ref="X43" r:id="rId137" xr:uid="{00000000-0004-0000-0000-000088000000}"/>
    <hyperlink ref="M44" r:id="rId138" xr:uid="{00000000-0004-0000-0000-000089000000}"/>
    <hyperlink ref="T44" r:id="rId139" xr:uid="{00000000-0004-0000-0000-00008A000000}"/>
    <hyperlink ref="X44" r:id="rId140" xr:uid="{00000000-0004-0000-0000-00008B000000}"/>
    <hyperlink ref="M45" r:id="rId141" xr:uid="{00000000-0004-0000-0000-00008C000000}"/>
    <hyperlink ref="T45" r:id="rId142" xr:uid="{00000000-0004-0000-0000-00008D000000}"/>
    <hyperlink ref="X45" r:id="rId143" xr:uid="{00000000-0004-0000-0000-00008E000000}"/>
    <hyperlink ref="M46" r:id="rId144" xr:uid="{00000000-0004-0000-0000-00008F000000}"/>
    <hyperlink ref="T46" r:id="rId145" xr:uid="{00000000-0004-0000-0000-000090000000}"/>
    <hyperlink ref="X46" r:id="rId146" xr:uid="{00000000-0004-0000-0000-000091000000}"/>
    <hyperlink ref="M47" r:id="rId147" xr:uid="{00000000-0004-0000-0000-000092000000}"/>
    <hyperlink ref="T47" r:id="rId148" xr:uid="{00000000-0004-0000-0000-000093000000}"/>
    <hyperlink ref="X47" r:id="rId149" xr:uid="{00000000-0004-0000-0000-000094000000}"/>
    <hyperlink ref="T48" r:id="rId150" xr:uid="{00000000-0004-0000-0000-000095000000}"/>
    <hyperlink ref="X48" r:id="rId151" xr:uid="{00000000-0004-0000-0000-000096000000}"/>
    <hyperlink ref="T49" r:id="rId152" xr:uid="{00000000-0004-0000-0000-000097000000}"/>
    <hyperlink ref="X49" r:id="rId153" xr:uid="{00000000-0004-0000-0000-000098000000}"/>
    <hyperlink ref="T50" r:id="rId154" xr:uid="{00000000-0004-0000-0000-000099000000}"/>
    <hyperlink ref="X50" r:id="rId155" xr:uid="{00000000-0004-0000-0000-00009A000000}"/>
    <hyperlink ref="M51" r:id="rId156" xr:uid="{00000000-0004-0000-0000-00009B000000}"/>
    <hyperlink ref="T51" r:id="rId157" xr:uid="{00000000-0004-0000-0000-00009C000000}"/>
    <hyperlink ref="X51" r:id="rId158" xr:uid="{00000000-0004-0000-0000-00009D000000}"/>
    <hyperlink ref="M52" r:id="rId159" xr:uid="{00000000-0004-0000-0000-00009E000000}"/>
    <hyperlink ref="T52" r:id="rId160" xr:uid="{00000000-0004-0000-0000-00009F000000}"/>
    <hyperlink ref="X52" r:id="rId161" xr:uid="{00000000-0004-0000-0000-0000A0000000}"/>
    <hyperlink ref="M53" r:id="rId162" xr:uid="{00000000-0004-0000-0000-0000A1000000}"/>
    <hyperlink ref="T53" r:id="rId163" xr:uid="{00000000-0004-0000-0000-0000A2000000}"/>
    <hyperlink ref="X53" r:id="rId164" xr:uid="{00000000-0004-0000-0000-0000A3000000}"/>
    <hyperlink ref="M54" r:id="rId165" xr:uid="{00000000-0004-0000-0000-0000A4000000}"/>
    <hyperlink ref="T54" r:id="rId166" xr:uid="{00000000-0004-0000-0000-0000A5000000}"/>
    <hyperlink ref="X54" r:id="rId167" xr:uid="{00000000-0004-0000-0000-0000A6000000}"/>
    <hyperlink ref="M55" r:id="rId168" xr:uid="{00000000-0004-0000-0000-0000A7000000}"/>
    <hyperlink ref="T55" r:id="rId169" xr:uid="{00000000-0004-0000-0000-0000A8000000}"/>
    <hyperlink ref="X55" r:id="rId170" xr:uid="{00000000-0004-0000-0000-0000A9000000}"/>
    <hyperlink ref="M56" r:id="rId171" xr:uid="{00000000-0004-0000-0000-0000AA000000}"/>
    <hyperlink ref="T56" r:id="rId172" xr:uid="{00000000-0004-0000-0000-0000AB000000}"/>
    <hyperlink ref="X56" r:id="rId173" xr:uid="{00000000-0004-0000-0000-0000AC000000}"/>
    <hyperlink ref="T57" r:id="rId174" xr:uid="{00000000-0004-0000-0000-0000AD000000}"/>
    <hyperlink ref="X57" r:id="rId175" xr:uid="{00000000-0004-0000-0000-0000AE000000}"/>
    <hyperlink ref="T58" r:id="rId176" xr:uid="{00000000-0004-0000-0000-0000AF000000}"/>
    <hyperlink ref="X58" r:id="rId177" xr:uid="{00000000-0004-0000-0000-0000B0000000}"/>
    <hyperlink ref="M59" r:id="rId178" xr:uid="{00000000-0004-0000-0000-0000B1000000}"/>
    <hyperlink ref="T59" r:id="rId179" xr:uid="{00000000-0004-0000-0000-0000B2000000}"/>
    <hyperlink ref="X59" r:id="rId180" xr:uid="{00000000-0004-0000-0000-0000B3000000}"/>
    <hyperlink ref="M60" r:id="rId181" xr:uid="{00000000-0004-0000-0000-0000B4000000}"/>
    <hyperlink ref="T60" r:id="rId182" xr:uid="{00000000-0004-0000-0000-0000B5000000}"/>
    <hyperlink ref="X60" r:id="rId183" xr:uid="{00000000-0004-0000-0000-0000B6000000}"/>
    <hyperlink ref="T61" r:id="rId184" xr:uid="{00000000-0004-0000-0000-0000B7000000}"/>
    <hyperlink ref="X61" r:id="rId185" xr:uid="{00000000-0004-0000-0000-0000B8000000}"/>
    <hyperlink ref="M62" r:id="rId186" xr:uid="{00000000-0004-0000-0000-0000B9000000}"/>
    <hyperlink ref="T62" r:id="rId187" xr:uid="{00000000-0004-0000-0000-0000BA000000}"/>
    <hyperlink ref="X62" r:id="rId188" xr:uid="{00000000-0004-0000-0000-0000BB000000}"/>
    <hyperlink ref="M63" r:id="rId189" xr:uid="{00000000-0004-0000-0000-0000BC000000}"/>
    <hyperlink ref="T63" r:id="rId190" xr:uid="{00000000-0004-0000-0000-0000BD000000}"/>
    <hyperlink ref="X63" r:id="rId191" xr:uid="{00000000-0004-0000-0000-0000BE000000}"/>
    <hyperlink ref="M64" r:id="rId192" xr:uid="{00000000-0004-0000-0000-0000BF000000}"/>
    <hyperlink ref="T64" r:id="rId193" xr:uid="{00000000-0004-0000-0000-0000C0000000}"/>
    <hyperlink ref="X64" r:id="rId194" xr:uid="{00000000-0004-0000-0000-0000C1000000}"/>
    <hyperlink ref="M65" r:id="rId195" xr:uid="{00000000-0004-0000-0000-0000C2000000}"/>
    <hyperlink ref="T65" r:id="rId196" xr:uid="{00000000-0004-0000-0000-0000C3000000}"/>
    <hyperlink ref="X65" r:id="rId197" xr:uid="{00000000-0004-0000-0000-0000C4000000}"/>
    <hyperlink ref="M66" r:id="rId198" xr:uid="{00000000-0004-0000-0000-0000C5000000}"/>
    <hyperlink ref="T66" r:id="rId199" xr:uid="{00000000-0004-0000-0000-0000C6000000}"/>
    <hyperlink ref="X66" r:id="rId200" xr:uid="{00000000-0004-0000-0000-0000C7000000}"/>
    <hyperlink ref="M67" r:id="rId201" xr:uid="{00000000-0004-0000-0000-0000C8000000}"/>
    <hyperlink ref="T67" r:id="rId202" xr:uid="{00000000-0004-0000-0000-0000C9000000}"/>
    <hyperlink ref="X67" r:id="rId203" xr:uid="{00000000-0004-0000-0000-0000CA000000}"/>
    <hyperlink ref="M68" r:id="rId204" xr:uid="{00000000-0004-0000-0000-0000CB000000}"/>
    <hyperlink ref="T68" r:id="rId205" xr:uid="{00000000-0004-0000-0000-0000CC000000}"/>
    <hyperlink ref="X68" r:id="rId206" xr:uid="{00000000-0004-0000-0000-0000CD000000}"/>
    <hyperlink ref="M69" r:id="rId207" xr:uid="{00000000-0004-0000-0000-0000CE000000}"/>
    <hyperlink ref="T69" r:id="rId208" xr:uid="{00000000-0004-0000-0000-0000CF000000}"/>
    <hyperlink ref="X69" r:id="rId209" xr:uid="{00000000-0004-0000-0000-0000D0000000}"/>
    <hyperlink ref="M70" r:id="rId210" xr:uid="{00000000-0004-0000-0000-0000D1000000}"/>
    <hyperlink ref="T70" r:id="rId211" xr:uid="{00000000-0004-0000-0000-0000D2000000}"/>
    <hyperlink ref="X70" r:id="rId212" xr:uid="{00000000-0004-0000-0000-0000D3000000}"/>
    <hyperlink ref="M71" r:id="rId213" xr:uid="{00000000-0004-0000-0000-0000D4000000}"/>
    <hyperlink ref="T71" r:id="rId214" xr:uid="{00000000-0004-0000-0000-0000D5000000}"/>
    <hyperlink ref="X71" r:id="rId215" xr:uid="{00000000-0004-0000-0000-0000D6000000}"/>
    <hyperlink ref="M72" r:id="rId216" xr:uid="{00000000-0004-0000-0000-0000D7000000}"/>
    <hyperlink ref="T72" r:id="rId217" xr:uid="{00000000-0004-0000-0000-0000D8000000}"/>
    <hyperlink ref="X72" r:id="rId218" xr:uid="{00000000-0004-0000-0000-0000D9000000}"/>
    <hyperlink ref="M73" r:id="rId219" xr:uid="{00000000-0004-0000-0000-0000DA000000}"/>
    <hyperlink ref="T73" r:id="rId220" xr:uid="{00000000-0004-0000-0000-0000DB000000}"/>
    <hyperlink ref="X73" r:id="rId221" xr:uid="{00000000-0004-0000-0000-0000DC000000}"/>
    <hyperlink ref="M74" r:id="rId222" xr:uid="{00000000-0004-0000-0000-0000DD000000}"/>
    <hyperlink ref="T74" r:id="rId223" xr:uid="{00000000-0004-0000-0000-0000DE000000}"/>
    <hyperlink ref="X74" r:id="rId224" xr:uid="{00000000-0004-0000-0000-0000DF000000}"/>
    <hyperlink ref="M75" r:id="rId225" xr:uid="{00000000-0004-0000-0000-0000E0000000}"/>
    <hyperlink ref="T75" r:id="rId226" xr:uid="{00000000-0004-0000-0000-0000E1000000}"/>
    <hyperlink ref="X75" r:id="rId227" xr:uid="{00000000-0004-0000-0000-0000E2000000}"/>
    <hyperlink ref="M76" r:id="rId228" xr:uid="{00000000-0004-0000-0000-0000E3000000}"/>
    <hyperlink ref="T76" r:id="rId229" xr:uid="{00000000-0004-0000-0000-0000E4000000}"/>
    <hyperlink ref="X76" r:id="rId230" xr:uid="{00000000-0004-0000-0000-0000E5000000}"/>
    <hyperlink ref="M77" r:id="rId231" xr:uid="{00000000-0004-0000-0000-0000E6000000}"/>
    <hyperlink ref="T77" r:id="rId232" xr:uid="{00000000-0004-0000-0000-0000E7000000}"/>
    <hyperlink ref="X77" r:id="rId233" xr:uid="{00000000-0004-0000-0000-0000E8000000}"/>
    <hyperlink ref="M78" r:id="rId234" xr:uid="{00000000-0004-0000-0000-0000E9000000}"/>
    <hyperlink ref="T78" r:id="rId235" xr:uid="{00000000-0004-0000-0000-0000EA000000}"/>
    <hyperlink ref="X78" r:id="rId236" xr:uid="{00000000-0004-0000-0000-0000EB000000}"/>
    <hyperlink ref="M79" r:id="rId237" xr:uid="{00000000-0004-0000-0000-0000EC000000}"/>
    <hyperlink ref="T79" r:id="rId238" xr:uid="{00000000-0004-0000-0000-0000ED000000}"/>
    <hyperlink ref="X79" r:id="rId239" xr:uid="{00000000-0004-0000-0000-0000EE000000}"/>
    <hyperlink ref="M80" r:id="rId240" xr:uid="{00000000-0004-0000-0000-0000EF000000}"/>
    <hyperlink ref="T80" r:id="rId241" xr:uid="{00000000-0004-0000-0000-0000F0000000}"/>
    <hyperlink ref="X80" r:id="rId242" xr:uid="{00000000-0004-0000-0000-0000F1000000}"/>
    <hyperlink ref="M81" r:id="rId243" xr:uid="{00000000-0004-0000-0000-0000F2000000}"/>
    <hyperlink ref="T81" r:id="rId244" xr:uid="{00000000-0004-0000-0000-0000F3000000}"/>
    <hyperlink ref="X81" r:id="rId245" xr:uid="{00000000-0004-0000-0000-0000F4000000}"/>
    <hyperlink ref="M82" r:id="rId246" xr:uid="{00000000-0004-0000-0000-0000F5000000}"/>
    <hyperlink ref="T82" r:id="rId247" xr:uid="{00000000-0004-0000-0000-0000F6000000}"/>
    <hyperlink ref="X82" r:id="rId248" xr:uid="{00000000-0004-0000-0000-0000F7000000}"/>
    <hyperlink ref="M83" r:id="rId249" xr:uid="{00000000-0004-0000-0000-0000F8000000}"/>
    <hyperlink ref="T83" r:id="rId250" xr:uid="{00000000-0004-0000-0000-0000F9000000}"/>
    <hyperlink ref="X83" r:id="rId251" xr:uid="{00000000-0004-0000-0000-0000FA000000}"/>
    <hyperlink ref="M84" r:id="rId252" xr:uid="{00000000-0004-0000-0000-0000FB000000}"/>
    <hyperlink ref="T84" r:id="rId253" xr:uid="{00000000-0004-0000-0000-0000FC000000}"/>
    <hyperlink ref="X84" r:id="rId254" xr:uid="{00000000-0004-0000-0000-0000FD000000}"/>
    <hyperlink ref="T85" r:id="rId255" xr:uid="{00000000-0004-0000-0000-0000FE000000}"/>
    <hyperlink ref="X85" r:id="rId256" xr:uid="{00000000-0004-0000-0000-0000FF000000}"/>
    <hyperlink ref="M86" r:id="rId257" xr:uid="{00000000-0004-0000-0000-000000010000}"/>
    <hyperlink ref="T86" r:id="rId258" xr:uid="{00000000-0004-0000-0000-000001010000}"/>
    <hyperlink ref="X86" r:id="rId259" xr:uid="{00000000-0004-0000-0000-000002010000}"/>
    <hyperlink ref="M87" r:id="rId260" xr:uid="{00000000-0004-0000-0000-000003010000}"/>
    <hyperlink ref="T87" r:id="rId261" xr:uid="{00000000-0004-0000-0000-000004010000}"/>
    <hyperlink ref="X87" r:id="rId262" xr:uid="{00000000-0004-0000-0000-000005010000}"/>
    <hyperlink ref="M88" r:id="rId263" xr:uid="{00000000-0004-0000-0000-000006010000}"/>
    <hyperlink ref="T88" r:id="rId264" xr:uid="{00000000-0004-0000-0000-000007010000}"/>
    <hyperlink ref="X88" r:id="rId265" xr:uid="{00000000-0004-0000-0000-000008010000}"/>
    <hyperlink ref="M89" r:id="rId266" xr:uid="{00000000-0004-0000-0000-000009010000}"/>
    <hyperlink ref="T89" r:id="rId267" xr:uid="{00000000-0004-0000-0000-00000A010000}"/>
    <hyperlink ref="X89" r:id="rId268" xr:uid="{00000000-0004-0000-0000-00000B010000}"/>
    <hyperlink ref="T90" r:id="rId269" xr:uid="{00000000-0004-0000-0000-00000C010000}"/>
    <hyperlink ref="X90" r:id="rId270" xr:uid="{00000000-0004-0000-0000-00000D010000}"/>
    <hyperlink ref="M91" r:id="rId271" xr:uid="{00000000-0004-0000-0000-00000E010000}"/>
    <hyperlink ref="T91" r:id="rId272" xr:uid="{00000000-0004-0000-0000-00000F010000}"/>
    <hyperlink ref="X91" r:id="rId273" xr:uid="{00000000-0004-0000-0000-000010010000}"/>
    <hyperlink ref="M92" r:id="rId274" xr:uid="{00000000-0004-0000-0000-000011010000}"/>
    <hyperlink ref="T92" r:id="rId275" xr:uid="{00000000-0004-0000-0000-000012010000}"/>
    <hyperlink ref="X92" r:id="rId276" xr:uid="{00000000-0004-0000-0000-000013010000}"/>
    <hyperlink ref="M93" r:id="rId277" xr:uid="{00000000-0004-0000-0000-000014010000}"/>
    <hyperlink ref="T93" r:id="rId278" xr:uid="{00000000-0004-0000-0000-000015010000}"/>
    <hyperlink ref="X93" r:id="rId279" xr:uid="{00000000-0004-0000-0000-000016010000}"/>
  </hyperlinks>
  <pageMargins left="0.7" right="0.7" top="0.75" bottom="0.75" header="0.3" footer="0.3"/>
  <tableParts count="1">
    <tablePart r:id="rId28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E58A5-B732-413F-B14C-EC0E8CE71152}">
  <dimension ref="A1:Q26"/>
  <sheetViews>
    <sheetView zoomScale="106" zoomScaleNormal="100" workbookViewId="0">
      <selection activeCell="F21" sqref="F21"/>
    </sheetView>
  </sheetViews>
  <sheetFormatPr defaultRowHeight="12.75" x14ac:dyDescent="0.2"/>
  <cols>
    <col min="1" max="1" width="6.28515625" customWidth="1"/>
    <col min="2" max="2" width="34.85546875" bestFit="1" customWidth="1"/>
    <col min="3" max="3" width="30.42578125" bestFit="1" customWidth="1"/>
    <col min="4" max="4" width="37.7109375" bestFit="1" customWidth="1"/>
    <col min="17" max="17" width="18.42578125" customWidth="1"/>
  </cols>
  <sheetData>
    <row r="1" spans="1:17" x14ac:dyDescent="0.2">
      <c r="A1" s="10" t="s">
        <v>752</v>
      </c>
      <c r="B1" s="7" t="s">
        <v>0</v>
      </c>
      <c r="C1" s="10" t="s">
        <v>704</v>
      </c>
      <c r="D1" s="10" t="s">
        <v>4</v>
      </c>
      <c r="E1" s="10" t="s">
        <v>708</v>
      </c>
      <c r="F1" s="10" t="s">
        <v>709</v>
      </c>
      <c r="G1" s="10" t="s">
        <v>710</v>
      </c>
      <c r="H1" s="10" t="s">
        <v>711</v>
      </c>
      <c r="I1" s="10" t="s">
        <v>712</v>
      </c>
      <c r="J1" s="10" t="s">
        <v>713</v>
      </c>
      <c r="K1" s="10" t="s">
        <v>714</v>
      </c>
      <c r="L1" s="10" t="s">
        <v>715</v>
      </c>
      <c r="M1" s="10" t="s">
        <v>716</v>
      </c>
      <c r="N1" s="10" t="s">
        <v>717</v>
      </c>
      <c r="O1" s="10" t="s">
        <v>718</v>
      </c>
      <c r="P1" s="10" t="s">
        <v>719</v>
      </c>
      <c r="Q1" s="10" t="s">
        <v>751</v>
      </c>
    </row>
    <row r="2" spans="1:17" x14ac:dyDescent="0.2">
      <c r="A2">
        <v>1</v>
      </c>
      <c r="B2" s="11" t="s">
        <v>22</v>
      </c>
      <c r="C2" t="str">
        <f>_xlfn.XLOOKUP($B2, MainDB[Email Address], MainDB[Worker''s Full Name],,0)</f>
        <v>Oniyide Rebecca</v>
      </c>
      <c r="D2" t="str">
        <f>_xlfn.XLOOKUP($B2, MainDB[Email Address], MainDB[Branch],,0)</f>
        <v>University of Ilesa, Osun State</v>
      </c>
      <c r="E2">
        <f>COUNTIFS(MainDB[Email Address],'Individual Submission'!$B2,MainDB[Month], "January")</f>
        <v>1</v>
      </c>
      <c r="F2">
        <f>COUNTIFS(MainDB[Email Address],'Individual Submission'!$B2,MainDB[Month], "February")</f>
        <v>0</v>
      </c>
      <c r="G2">
        <f>COUNTIFS(MainDB[Email Address],'Individual Submission'!$B2,MainDB[Month], "March")</f>
        <v>4</v>
      </c>
      <c r="H2">
        <f>COUNTIFS(MainDB[Email Address],'Individual Submission'!$B2,MainDB[Month], "April")</f>
        <v>0</v>
      </c>
      <c r="I2">
        <f>COUNTIFS(MainDB[Email Address],'Individual Submission'!$B2,MainDB[Month], "May")</f>
        <v>0</v>
      </c>
      <c r="J2">
        <f>COUNTIFS(MainDB[Email Address],'Individual Submission'!$B2,MainDB[Month], "June")</f>
        <v>2</v>
      </c>
      <c r="K2">
        <f>COUNTIFS(MainDB[Email Address],'Individual Submission'!$B2,MainDB[Month], "July")</f>
        <v>0</v>
      </c>
      <c r="L2">
        <f>COUNTIFS(MainDB[Email Address],'Individual Submission'!$B2,MainDB[Month], "August")</f>
        <v>0</v>
      </c>
      <c r="M2">
        <f>COUNTIFS(MainDB[Email Address],'Individual Submission'!$B2,MainDB[Month], "September")</f>
        <v>0</v>
      </c>
      <c r="N2">
        <f>COUNTIFS(MainDB[Email Address],'Individual Submission'!$B2,MainDB[Month], "October")</f>
        <v>0</v>
      </c>
      <c r="O2">
        <f>COUNTIFS(MainDB[Email Address],'Individual Submission'!$B2,MainDB[Month], "November")</f>
        <v>0</v>
      </c>
      <c r="P2">
        <f>COUNTIFS(MainDB[Email Address],'Individual Submission'!$B2,MainDB[Month], "December")</f>
        <v>0</v>
      </c>
      <c r="Q2">
        <f>SUM(E2:P2)</f>
        <v>7</v>
      </c>
    </row>
    <row r="3" spans="1:17" x14ac:dyDescent="0.2">
      <c r="A3">
        <v>2</v>
      </c>
      <c r="B3" s="12" t="s">
        <v>695</v>
      </c>
      <c r="C3" t="str">
        <f>_xlfn.XLOOKUP($B3, MainDB[Email Address], MainDB[Worker''s Full Name],,0)</f>
        <v>Adefokun Adetumi Ebenezer</v>
      </c>
      <c r="D3" t="str">
        <f>_xlfn.XLOOKUP($B3, MainDB[Email Address], MainDB[Branch],,0)</f>
        <v>Ipetu-Ijesha, Osun State</v>
      </c>
      <c r="E3">
        <f>COUNTIFS(MainDB[Email Address],'Individual Submission'!$B3,MainDB[Month], "January")</f>
        <v>1</v>
      </c>
      <c r="F3">
        <f>COUNTIFS(MainDB[Email Address],'Individual Submission'!$B3,MainDB[Month], "February")</f>
        <v>0</v>
      </c>
      <c r="G3">
        <f>COUNTIFS(MainDB[Email Address],'Individual Submission'!$B3,MainDB[Month], "March")</f>
        <v>1</v>
      </c>
      <c r="H3">
        <f>COUNTIFS(MainDB[Email Address],'Individual Submission'!$B3,MainDB[Month], "April")</f>
        <v>0</v>
      </c>
      <c r="I3">
        <f>COUNTIFS(MainDB[Email Address],'Individual Submission'!$B3,MainDB[Month], "May")</f>
        <v>0</v>
      </c>
      <c r="J3">
        <f>COUNTIFS(MainDB[Email Address],'Individual Submission'!$B3,MainDB[Month], "June")</f>
        <v>0</v>
      </c>
      <c r="K3">
        <f>COUNTIFS(MainDB[Email Address],'Individual Submission'!$B3,MainDB[Month], "July")</f>
        <v>0</v>
      </c>
      <c r="L3">
        <f>COUNTIFS(MainDB[Email Address],'Individual Submission'!$B3,MainDB[Month], "August")</f>
        <v>0</v>
      </c>
      <c r="M3">
        <f>COUNTIFS(MainDB[Email Address],'Individual Submission'!$B3,MainDB[Month], "September")</f>
        <v>1</v>
      </c>
      <c r="N3">
        <f>COUNTIFS(MainDB[Email Address],'Individual Submission'!$B3,MainDB[Month], "October")</f>
        <v>0</v>
      </c>
      <c r="O3">
        <f>COUNTIFS(MainDB[Email Address],'Individual Submission'!$B3,MainDB[Month], "November")</f>
        <v>1</v>
      </c>
      <c r="P3">
        <f>COUNTIFS(MainDB[Email Address],'Individual Submission'!$B3,MainDB[Month], "December")</f>
        <v>0</v>
      </c>
      <c r="Q3">
        <f t="shared" ref="Q3:Q17" si="0">SUM(E3:P3)</f>
        <v>4</v>
      </c>
    </row>
    <row r="4" spans="1:17" x14ac:dyDescent="0.2">
      <c r="A4">
        <v>3</v>
      </c>
      <c r="B4" s="12" t="s">
        <v>50</v>
      </c>
      <c r="C4" t="str">
        <f>_xlfn.XLOOKUP($B4, MainDB[Email Address], MainDB[Worker''s Full Name],,0)</f>
        <v>Akerewusi Oluwadamilare</v>
      </c>
      <c r="D4" t="str">
        <f>_xlfn.XLOOKUP($B4, MainDB[Email Address], MainDB[Branch],,0)</f>
        <v>University of Ilesa, Osun State</v>
      </c>
      <c r="E4">
        <f>COUNTIFS(MainDB[Email Address],'Individual Submission'!$B4,MainDB[Month], "January")</f>
        <v>1</v>
      </c>
      <c r="F4">
        <f>COUNTIFS(MainDB[Email Address],'Individual Submission'!$B4,MainDB[Month], "February")</f>
        <v>0</v>
      </c>
      <c r="G4">
        <f>COUNTIFS(MainDB[Email Address],'Individual Submission'!$B4,MainDB[Month], "March")</f>
        <v>5</v>
      </c>
      <c r="H4">
        <f>COUNTIFS(MainDB[Email Address],'Individual Submission'!$B4,MainDB[Month], "April")</f>
        <v>1</v>
      </c>
      <c r="I4">
        <f>COUNTIFS(MainDB[Email Address],'Individual Submission'!$B4,MainDB[Month], "May")</f>
        <v>0</v>
      </c>
      <c r="J4">
        <f>COUNTIFS(MainDB[Email Address],'Individual Submission'!$B4,MainDB[Month], "June")</f>
        <v>3</v>
      </c>
      <c r="K4">
        <f>COUNTIFS(MainDB[Email Address],'Individual Submission'!$B4,MainDB[Month], "July")</f>
        <v>0</v>
      </c>
      <c r="L4">
        <f>COUNTIFS(MainDB[Email Address],'Individual Submission'!$B4,MainDB[Month], "August")</f>
        <v>0</v>
      </c>
      <c r="M4">
        <f>COUNTIFS(MainDB[Email Address],'Individual Submission'!$B4,MainDB[Month], "September")</f>
        <v>1</v>
      </c>
      <c r="N4">
        <f>COUNTIFS(MainDB[Email Address],'Individual Submission'!$B4,MainDB[Month], "October")</f>
        <v>1</v>
      </c>
      <c r="O4">
        <f>COUNTIFS(MainDB[Email Address],'Individual Submission'!$B4,MainDB[Month], "November")</f>
        <v>1</v>
      </c>
      <c r="P4">
        <f>COUNTIFS(MainDB[Email Address],'Individual Submission'!$B4,MainDB[Month], "December")</f>
        <v>0</v>
      </c>
      <c r="Q4">
        <f t="shared" si="0"/>
        <v>13</v>
      </c>
    </row>
    <row r="5" spans="1:17" x14ac:dyDescent="0.2">
      <c r="A5">
        <v>4</v>
      </c>
      <c r="B5" s="12" t="s">
        <v>62</v>
      </c>
      <c r="C5" t="str">
        <f>_xlfn.XLOOKUP($B5, MainDB[Email Address], MainDB[Worker''s Full Name],,0)</f>
        <v>Akinleye Ayomide Deborah</v>
      </c>
      <c r="D5" t="str">
        <f>_xlfn.XLOOKUP($B5, MainDB[Email Address], MainDB[Branch],,0)</f>
        <v>Health Tech Bolorunduro, Ilesa, Osun State</v>
      </c>
      <c r="E5">
        <f>COUNTIFS(MainDB[Email Address],'Individual Submission'!$B5,MainDB[Month], "January")</f>
        <v>0</v>
      </c>
      <c r="F5">
        <f>COUNTIFS(MainDB[Email Address],'Individual Submission'!$B5,MainDB[Month], "February")</f>
        <v>1</v>
      </c>
      <c r="G5">
        <f>COUNTIFS(MainDB[Email Address],'Individual Submission'!$B5,MainDB[Month], "March")</f>
        <v>2</v>
      </c>
      <c r="H5">
        <f>COUNTIFS(MainDB[Email Address],'Individual Submission'!$B5,MainDB[Month], "April")</f>
        <v>0</v>
      </c>
      <c r="I5">
        <f>COUNTIFS(MainDB[Email Address],'Individual Submission'!$B5,MainDB[Month], "May")</f>
        <v>0</v>
      </c>
      <c r="J5">
        <f>COUNTIFS(MainDB[Email Address],'Individual Submission'!$B5,MainDB[Month], "June")</f>
        <v>3</v>
      </c>
      <c r="K5">
        <f>COUNTIFS(MainDB[Email Address],'Individual Submission'!$B5,MainDB[Month], "July")</f>
        <v>0</v>
      </c>
      <c r="L5">
        <f>COUNTIFS(MainDB[Email Address],'Individual Submission'!$B5,MainDB[Month], "August")</f>
        <v>0</v>
      </c>
      <c r="M5">
        <f>COUNTIFS(MainDB[Email Address],'Individual Submission'!$B5,MainDB[Month], "September")</f>
        <v>0</v>
      </c>
      <c r="N5">
        <f>COUNTIFS(MainDB[Email Address],'Individual Submission'!$B5,MainDB[Month], "October")</f>
        <v>0</v>
      </c>
      <c r="O5">
        <f>COUNTIFS(MainDB[Email Address],'Individual Submission'!$B5,MainDB[Month], "November")</f>
        <v>1</v>
      </c>
      <c r="P5">
        <f>COUNTIFS(MainDB[Email Address],'Individual Submission'!$B5,MainDB[Month], "December")</f>
        <v>0</v>
      </c>
      <c r="Q5">
        <f t="shared" si="0"/>
        <v>7</v>
      </c>
    </row>
    <row r="6" spans="1:17" x14ac:dyDescent="0.2">
      <c r="A6">
        <v>5</v>
      </c>
      <c r="B6" s="12" t="s">
        <v>74</v>
      </c>
      <c r="C6" t="str">
        <f>_xlfn.XLOOKUP($B6, MainDB[Email Address], MainDB[Worker''s Full Name],,0)</f>
        <v>Durodola Ololade</v>
      </c>
      <c r="D6" t="str">
        <f>_xlfn.XLOOKUP($B6, MainDB[Email Address], MainDB[Branch],,0)</f>
        <v>Esa-Oke, Osun State</v>
      </c>
      <c r="E6">
        <f>COUNTIFS(MainDB[Email Address],'Individual Submission'!$B6,MainDB[Month], "January")</f>
        <v>1</v>
      </c>
      <c r="F6">
        <f>COUNTIFS(MainDB[Email Address],'Individual Submission'!$B6,MainDB[Month], "February")</f>
        <v>0</v>
      </c>
      <c r="G6">
        <f>COUNTIFS(MainDB[Email Address],'Individual Submission'!$B6,MainDB[Month], "March")</f>
        <v>0</v>
      </c>
      <c r="H6">
        <f>COUNTIFS(MainDB[Email Address],'Individual Submission'!$B6,MainDB[Month], "April")</f>
        <v>0</v>
      </c>
      <c r="I6">
        <f>COUNTIFS(MainDB[Email Address],'Individual Submission'!$B6,MainDB[Month], "May")</f>
        <v>0</v>
      </c>
      <c r="J6">
        <f>COUNTIFS(MainDB[Email Address],'Individual Submission'!$B6,MainDB[Month], "June")</f>
        <v>0</v>
      </c>
      <c r="K6">
        <f>COUNTIFS(MainDB[Email Address],'Individual Submission'!$B6,MainDB[Month], "July")</f>
        <v>0</v>
      </c>
      <c r="L6">
        <f>COUNTIFS(MainDB[Email Address],'Individual Submission'!$B6,MainDB[Month], "August")</f>
        <v>0</v>
      </c>
      <c r="M6">
        <f>COUNTIFS(MainDB[Email Address],'Individual Submission'!$B6,MainDB[Month], "September")</f>
        <v>2</v>
      </c>
      <c r="N6">
        <f>COUNTIFS(MainDB[Email Address],'Individual Submission'!$B6,MainDB[Month], "October")</f>
        <v>0</v>
      </c>
      <c r="O6">
        <f>COUNTIFS(MainDB[Email Address],'Individual Submission'!$B6,MainDB[Month], "November")</f>
        <v>1</v>
      </c>
      <c r="P6">
        <f>COUNTIFS(MainDB[Email Address],'Individual Submission'!$B6,MainDB[Month], "December")</f>
        <v>0</v>
      </c>
      <c r="Q6">
        <f t="shared" si="0"/>
        <v>4</v>
      </c>
    </row>
    <row r="7" spans="1:17" x14ac:dyDescent="0.2">
      <c r="A7">
        <v>6</v>
      </c>
      <c r="B7" s="12" t="s">
        <v>88</v>
      </c>
      <c r="C7" t="str">
        <f>_xlfn.XLOOKUP($B7, MainDB[Email Address], MainDB[Worker''s Full Name],,0)</f>
        <v>Ogundare Olamide Emmanuel</v>
      </c>
      <c r="D7" t="str">
        <f>_xlfn.XLOOKUP($B7, MainDB[Email Address], MainDB[Branch],,0)</f>
        <v>Headquarters, Egbe-Idi, Ilesa, Osun State</v>
      </c>
      <c r="E7">
        <f>COUNTIFS(MainDB[Email Address],'Individual Submission'!$B7,MainDB[Month], "January")</f>
        <v>1</v>
      </c>
      <c r="F7">
        <f>COUNTIFS(MainDB[Email Address],'Individual Submission'!$B7,MainDB[Month], "February")</f>
        <v>1</v>
      </c>
      <c r="G7">
        <f>COUNTIFS(MainDB[Email Address],'Individual Submission'!$B7,MainDB[Month], "March")</f>
        <v>0</v>
      </c>
      <c r="H7">
        <f>COUNTIFS(MainDB[Email Address],'Individual Submission'!$B7,MainDB[Month], "April")</f>
        <v>0</v>
      </c>
      <c r="I7">
        <f>COUNTIFS(MainDB[Email Address],'Individual Submission'!$B7,MainDB[Month], "May")</f>
        <v>0</v>
      </c>
      <c r="J7">
        <f>COUNTIFS(MainDB[Email Address],'Individual Submission'!$B7,MainDB[Month], "June")</f>
        <v>0</v>
      </c>
      <c r="K7">
        <f>COUNTIFS(MainDB[Email Address],'Individual Submission'!$B7,MainDB[Month], "July")</f>
        <v>0</v>
      </c>
      <c r="L7">
        <f>COUNTIFS(MainDB[Email Address],'Individual Submission'!$B7,MainDB[Month], "August")</f>
        <v>0</v>
      </c>
      <c r="M7">
        <f>COUNTIFS(MainDB[Email Address],'Individual Submission'!$B7,MainDB[Month], "September")</f>
        <v>0</v>
      </c>
      <c r="N7">
        <f>COUNTIFS(MainDB[Email Address],'Individual Submission'!$B7,MainDB[Month], "October")</f>
        <v>0</v>
      </c>
      <c r="O7">
        <f>COUNTIFS(MainDB[Email Address],'Individual Submission'!$B7,MainDB[Month], "November")</f>
        <v>0</v>
      </c>
      <c r="P7">
        <f>COUNTIFS(MainDB[Email Address],'Individual Submission'!$B7,MainDB[Month], "December")</f>
        <v>0</v>
      </c>
      <c r="Q7">
        <f t="shared" si="0"/>
        <v>2</v>
      </c>
    </row>
    <row r="8" spans="1:17" x14ac:dyDescent="0.2">
      <c r="A8">
        <v>7</v>
      </c>
      <c r="B8" s="12" t="s">
        <v>104</v>
      </c>
      <c r="C8" t="str">
        <f>_xlfn.XLOOKUP($B8, MainDB[Email Address], MainDB[Worker''s Full Name],,0)</f>
        <v>Abayomi Temitayo Ezekiel</v>
      </c>
      <c r="D8" t="str">
        <f>_xlfn.XLOOKUP($B8, MainDB[Email Address], MainDB[Branch],,0)</f>
        <v>Health Tech Bolorunduro, Ilesa, Osun State</v>
      </c>
      <c r="E8">
        <f>COUNTIFS(MainDB[Email Address],'Individual Submission'!$B8,MainDB[Month], "January")</f>
        <v>0</v>
      </c>
      <c r="F8">
        <f>COUNTIFS(MainDB[Email Address],'Individual Submission'!$B8,MainDB[Month], "February")</f>
        <v>1</v>
      </c>
      <c r="G8">
        <f>COUNTIFS(MainDB[Email Address],'Individual Submission'!$B8,MainDB[Month], "March")</f>
        <v>3</v>
      </c>
      <c r="H8">
        <f>COUNTIFS(MainDB[Email Address],'Individual Submission'!$B8,MainDB[Month], "April")</f>
        <v>0</v>
      </c>
      <c r="I8">
        <f>COUNTIFS(MainDB[Email Address],'Individual Submission'!$B8,MainDB[Month], "May")</f>
        <v>0</v>
      </c>
      <c r="J8">
        <f>COUNTIFS(MainDB[Email Address],'Individual Submission'!$B8,MainDB[Month], "June")</f>
        <v>1</v>
      </c>
      <c r="K8">
        <f>COUNTIFS(MainDB[Email Address],'Individual Submission'!$B8,MainDB[Month], "July")</f>
        <v>0</v>
      </c>
      <c r="L8">
        <f>COUNTIFS(MainDB[Email Address],'Individual Submission'!$B8,MainDB[Month], "August")</f>
        <v>0</v>
      </c>
      <c r="M8">
        <f>COUNTIFS(MainDB[Email Address],'Individual Submission'!$B8,MainDB[Month], "September")</f>
        <v>0</v>
      </c>
      <c r="N8">
        <f>COUNTIFS(MainDB[Email Address],'Individual Submission'!$B8,MainDB[Month], "October")</f>
        <v>0</v>
      </c>
      <c r="O8">
        <f>COUNTIFS(MainDB[Email Address],'Individual Submission'!$B8,MainDB[Month], "November")</f>
        <v>0</v>
      </c>
      <c r="P8">
        <f>COUNTIFS(MainDB[Email Address],'Individual Submission'!$B8,MainDB[Month], "December")</f>
        <v>0</v>
      </c>
      <c r="Q8">
        <f t="shared" si="0"/>
        <v>5</v>
      </c>
    </row>
    <row r="9" spans="1:17" x14ac:dyDescent="0.2">
      <c r="A9">
        <v>8</v>
      </c>
      <c r="B9" s="12" t="s">
        <v>117</v>
      </c>
      <c r="C9" t="str">
        <f>_xlfn.XLOOKUP($B9, MainDB[Email Address], MainDB[Worker''s Full Name],,0)</f>
        <v>Oyewumi Mary.A</v>
      </c>
      <c r="D9" t="str">
        <f>_xlfn.XLOOKUP($B9, MainDB[Email Address], MainDB[Branch],,0)</f>
        <v>University of Ilesa, Osun State</v>
      </c>
      <c r="E9">
        <f>COUNTIFS(MainDB[Email Address],'Individual Submission'!$B9,MainDB[Month], "January")</f>
        <v>0</v>
      </c>
      <c r="F9">
        <f>COUNTIFS(MainDB[Email Address],'Individual Submission'!$B9,MainDB[Month], "February")</f>
        <v>3</v>
      </c>
      <c r="G9">
        <f>COUNTIFS(MainDB[Email Address],'Individual Submission'!$B9,MainDB[Month], "March")</f>
        <v>4</v>
      </c>
      <c r="H9">
        <f>COUNTIFS(MainDB[Email Address],'Individual Submission'!$B9,MainDB[Month], "April")</f>
        <v>2</v>
      </c>
      <c r="I9">
        <f>COUNTIFS(MainDB[Email Address],'Individual Submission'!$B9,MainDB[Month], "May")</f>
        <v>0</v>
      </c>
      <c r="J9">
        <f>COUNTIFS(MainDB[Email Address],'Individual Submission'!$B9,MainDB[Month], "June")</f>
        <v>4</v>
      </c>
      <c r="K9">
        <f>COUNTIFS(MainDB[Email Address],'Individual Submission'!$B9,MainDB[Month], "July")</f>
        <v>0</v>
      </c>
      <c r="L9">
        <f>COUNTIFS(MainDB[Email Address],'Individual Submission'!$B9,MainDB[Month], "August")</f>
        <v>0</v>
      </c>
      <c r="M9">
        <f>COUNTIFS(MainDB[Email Address],'Individual Submission'!$B9,MainDB[Month], "September")</f>
        <v>2</v>
      </c>
      <c r="N9">
        <f>COUNTIFS(MainDB[Email Address],'Individual Submission'!$B9,MainDB[Month], "October")</f>
        <v>0</v>
      </c>
      <c r="O9">
        <f>COUNTIFS(MainDB[Email Address],'Individual Submission'!$B9,MainDB[Month], "November")</f>
        <v>1</v>
      </c>
      <c r="P9">
        <f>COUNTIFS(MainDB[Email Address],'Individual Submission'!$B9,MainDB[Month], "December")</f>
        <v>0</v>
      </c>
      <c r="Q9">
        <f t="shared" si="0"/>
        <v>16</v>
      </c>
    </row>
    <row r="10" spans="1:17" x14ac:dyDescent="0.2">
      <c r="A10">
        <v>9</v>
      </c>
      <c r="B10" s="12" t="s">
        <v>144</v>
      </c>
      <c r="C10" t="str">
        <f>_xlfn.XLOOKUP($B10, MainDB[Email Address], MainDB[Worker''s Full Name],,0)</f>
        <v>Arigbede Iyanuoluwa Testimony</v>
      </c>
      <c r="D10" t="str">
        <f>_xlfn.XLOOKUP($B10, MainDB[Email Address], MainDB[Branch],,0)</f>
        <v>Esa-Oke, Osun State</v>
      </c>
      <c r="E10">
        <f>COUNTIFS(MainDB[Email Address],'Individual Submission'!$B10,MainDB[Month], "January")</f>
        <v>0</v>
      </c>
      <c r="F10">
        <f>COUNTIFS(MainDB[Email Address],'Individual Submission'!$B10,MainDB[Month], "February")</f>
        <v>1</v>
      </c>
      <c r="G10">
        <f>COUNTIFS(MainDB[Email Address],'Individual Submission'!$B10,MainDB[Month], "March")</f>
        <v>4</v>
      </c>
      <c r="H10">
        <f>COUNTIFS(MainDB[Email Address],'Individual Submission'!$B10,MainDB[Month], "April")</f>
        <v>0</v>
      </c>
      <c r="I10">
        <f>COUNTIFS(MainDB[Email Address],'Individual Submission'!$B10,MainDB[Month], "May")</f>
        <v>0</v>
      </c>
      <c r="J10">
        <f>COUNTIFS(MainDB[Email Address],'Individual Submission'!$B10,MainDB[Month], "June")</f>
        <v>0</v>
      </c>
      <c r="K10">
        <f>COUNTIFS(MainDB[Email Address],'Individual Submission'!$B10,MainDB[Month], "July")</f>
        <v>0</v>
      </c>
      <c r="L10">
        <f>COUNTIFS(MainDB[Email Address],'Individual Submission'!$B10,MainDB[Month], "August")</f>
        <v>0</v>
      </c>
      <c r="M10">
        <f>COUNTIFS(MainDB[Email Address],'Individual Submission'!$B10,MainDB[Month], "September")</f>
        <v>0</v>
      </c>
      <c r="N10">
        <f>COUNTIFS(MainDB[Email Address],'Individual Submission'!$B10,MainDB[Month], "October")</f>
        <v>0</v>
      </c>
      <c r="O10">
        <f>COUNTIFS(MainDB[Email Address],'Individual Submission'!$B10,MainDB[Month], "November")</f>
        <v>0</v>
      </c>
      <c r="P10">
        <f>COUNTIFS(MainDB[Email Address],'Individual Submission'!$B10,MainDB[Month], "December")</f>
        <v>0</v>
      </c>
      <c r="Q10">
        <f t="shared" si="0"/>
        <v>5</v>
      </c>
    </row>
    <row r="11" spans="1:17" x14ac:dyDescent="0.2">
      <c r="A11">
        <v>10</v>
      </c>
      <c r="B11" s="12" t="s">
        <v>157</v>
      </c>
      <c r="C11" t="str">
        <f>_xlfn.XLOOKUP($B11, MainDB[Email Address], MainDB[Worker''s Full Name],,0)</f>
        <v>O. J Arigbede Esq</v>
      </c>
      <c r="D11" t="str">
        <f>_xlfn.XLOOKUP($B11, MainDB[Email Address], MainDB[Branch],,0)</f>
        <v>Headquarters, Egbe-Idi, Ilesa, Osun State</v>
      </c>
      <c r="E11">
        <f>COUNTIFS(MainDB[Email Address],'Individual Submission'!$B11,MainDB[Month], "January")</f>
        <v>0</v>
      </c>
      <c r="F11">
        <f>COUNTIFS(MainDB[Email Address],'Individual Submission'!$B11,MainDB[Month], "February")</f>
        <v>0</v>
      </c>
      <c r="G11">
        <f>COUNTIFS(MainDB[Email Address],'Individual Submission'!$B11,MainDB[Month], "March")</f>
        <v>1</v>
      </c>
      <c r="H11">
        <f>COUNTIFS(MainDB[Email Address],'Individual Submission'!$B11,MainDB[Month], "April")</f>
        <v>0</v>
      </c>
      <c r="I11">
        <f>COUNTIFS(MainDB[Email Address],'Individual Submission'!$B11,MainDB[Month], "May")</f>
        <v>0</v>
      </c>
      <c r="J11">
        <f>COUNTIFS(MainDB[Email Address],'Individual Submission'!$B11,MainDB[Month], "June")</f>
        <v>1</v>
      </c>
      <c r="K11">
        <f>COUNTIFS(MainDB[Email Address],'Individual Submission'!$B11,MainDB[Month], "July")</f>
        <v>0</v>
      </c>
      <c r="L11">
        <f>COUNTIFS(MainDB[Email Address],'Individual Submission'!$B11,MainDB[Month], "August")</f>
        <v>0</v>
      </c>
      <c r="M11">
        <f>COUNTIFS(MainDB[Email Address],'Individual Submission'!$B11,MainDB[Month], "September")</f>
        <v>1</v>
      </c>
      <c r="N11">
        <f>COUNTIFS(MainDB[Email Address],'Individual Submission'!$B11,MainDB[Month], "October")</f>
        <v>0</v>
      </c>
      <c r="O11">
        <f>COUNTIFS(MainDB[Email Address],'Individual Submission'!$B11,MainDB[Month], "November")</f>
        <v>1</v>
      </c>
      <c r="P11">
        <f>COUNTIFS(MainDB[Email Address],'Individual Submission'!$B11,MainDB[Month], "December")</f>
        <v>0</v>
      </c>
      <c r="Q11">
        <f t="shared" si="0"/>
        <v>4</v>
      </c>
    </row>
    <row r="12" spans="1:17" x14ac:dyDescent="0.2">
      <c r="A12">
        <v>11</v>
      </c>
      <c r="B12" s="12" t="s">
        <v>181</v>
      </c>
      <c r="C12" t="str">
        <f>_xlfn.XLOOKUP($B12, MainDB[Email Address], MainDB[Worker''s Full Name],,0)</f>
        <v>Akerewusi Motunrayo</v>
      </c>
      <c r="D12" t="str">
        <f>_xlfn.XLOOKUP($B12, MainDB[Email Address], MainDB[Branch],,0)</f>
        <v>University of Ilesa, Osun State</v>
      </c>
      <c r="E12">
        <f>COUNTIFS(MainDB[Email Address],'Individual Submission'!$B12,MainDB[Month], "January")</f>
        <v>0</v>
      </c>
      <c r="F12">
        <f>COUNTIFS(MainDB[Email Address],'Individual Submission'!$B12,MainDB[Month], "February")</f>
        <v>0</v>
      </c>
      <c r="G12">
        <f>COUNTIFS(MainDB[Email Address],'Individual Submission'!$B12,MainDB[Month], "March")</f>
        <v>1</v>
      </c>
      <c r="H12">
        <f>COUNTIFS(MainDB[Email Address],'Individual Submission'!$B12,MainDB[Month], "April")</f>
        <v>0</v>
      </c>
      <c r="I12">
        <f>COUNTIFS(MainDB[Email Address],'Individual Submission'!$B12,MainDB[Month], "May")</f>
        <v>0</v>
      </c>
      <c r="J12">
        <f>COUNTIFS(MainDB[Email Address],'Individual Submission'!$B12,MainDB[Month], "June")</f>
        <v>3</v>
      </c>
      <c r="K12">
        <f>COUNTIFS(MainDB[Email Address],'Individual Submission'!$B12,MainDB[Month], "July")</f>
        <v>0</v>
      </c>
      <c r="L12">
        <f>COUNTIFS(MainDB[Email Address],'Individual Submission'!$B12,MainDB[Month], "August")</f>
        <v>0</v>
      </c>
      <c r="M12">
        <f>COUNTIFS(MainDB[Email Address],'Individual Submission'!$B12,MainDB[Month], "September")</f>
        <v>1</v>
      </c>
      <c r="N12">
        <f>COUNTIFS(MainDB[Email Address],'Individual Submission'!$B12,MainDB[Month], "October")</f>
        <v>0</v>
      </c>
      <c r="O12">
        <f>COUNTIFS(MainDB[Email Address],'Individual Submission'!$B12,MainDB[Month], "November")</f>
        <v>1</v>
      </c>
      <c r="P12">
        <f>COUNTIFS(MainDB[Email Address],'Individual Submission'!$B12,MainDB[Month], "December")</f>
        <v>0</v>
      </c>
      <c r="Q12">
        <f t="shared" si="0"/>
        <v>6</v>
      </c>
    </row>
    <row r="13" spans="1:17" x14ac:dyDescent="0.2">
      <c r="A13">
        <v>12</v>
      </c>
      <c r="B13" s="12" t="s">
        <v>214</v>
      </c>
      <c r="C13" t="str">
        <f>_xlfn.XLOOKUP($B13, MainDB[Email Address], MainDB[Worker''s Full Name],,0)</f>
        <v>Veronica Abiola Iyabo</v>
      </c>
      <c r="D13" t="str">
        <f>_xlfn.XLOOKUP($B13, MainDB[Email Address], MainDB[Branch],,0)</f>
        <v>University of Ilesa, Osun State</v>
      </c>
      <c r="E13">
        <f>COUNTIFS(MainDB[Email Address],'Individual Submission'!$B13,MainDB[Month], "January")</f>
        <v>0</v>
      </c>
      <c r="F13">
        <f>COUNTIFS(MainDB[Email Address],'Individual Submission'!$B13,MainDB[Month], "February")</f>
        <v>0</v>
      </c>
      <c r="G13">
        <f>COUNTIFS(MainDB[Email Address],'Individual Submission'!$B13,MainDB[Month], "March")</f>
        <v>3</v>
      </c>
      <c r="H13">
        <f>COUNTIFS(MainDB[Email Address],'Individual Submission'!$B13,MainDB[Month], "April")</f>
        <v>0</v>
      </c>
      <c r="I13">
        <f>COUNTIFS(MainDB[Email Address],'Individual Submission'!$B13,MainDB[Month], "May")</f>
        <v>0</v>
      </c>
      <c r="J13">
        <f>COUNTIFS(MainDB[Email Address],'Individual Submission'!$B13,MainDB[Month], "June")</f>
        <v>5</v>
      </c>
      <c r="K13">
        <f>COUNTIFS(MainDB[Email Address],'Individual Submission'!$B13,MainDB[Month], "July")</f>
        <v>0</v>
      </c>
      <c r="L13">
        <f>COUNTIFS(MainDB[Email Address],'Individual Submission'!$B13,MainDB[Month], "August")</f>
        <v>0</v>
      </c>
      <c r="M13">
        <f>COUNTIFS(MainDB[Email Address],'Individual Submission'!$B13,MainDB[Month], "September")</f>
        <v>0</v>
      </c>
      <c r="N13">
        <f>COUNTIFS(MainDB[Email Address],'Individual Submission'!$B13,MainDB[Month], "October")</f>
        <v>0</v>
      </c>
      <c r="O13">
        <f>COUNTIFS(MainDB[Email Address],'Individual Submission'!$B13,MainDB[Month], "November")</f>
        <v>0</v>
      </c>
      <c r="P13">
        <f>COUNTIFS(MainDB[Email Address],'Individual Submission'!$B13,MainDB[Month], "December")</f>
        <v>0</v>
      </c>
      <c r="Q13">
        <f t="shared" si="0"/>
        <v>8</v>
      </c>
    </row>
    <row r="14" spans="1:17" x14ac:dyDescent="0.2">
      <c r="A14">
        <v>13</v>
      </c>
      <c r="B14" s="12" t="s">
        <v>236</v>
      </c>
      <c r="C14" t="str">
        <f>_xlfn.XLOOKUP($B14, MainDB[Email Address], MainDB[Worker''s Full Name],,0)</f>
        <v>Alaba Precious Oluwaferanmi</v>
      </c>
      <c r="D14" t="str">
        <f>_xlfn.XLOOKUP($B14, MainDB[Email Address], MainDB[Branch],,0)</f>
        <v>Health Tech Bolorunduro, Ilesa, Osun State</v>
      </c>
      <c r="E14">
        <f>COUNTIFS(MainDB[Email Address],'Individual Submission'!$B14,MainDB[Month], "January")</f>
        <v>0</v>
      </c>
      <c r="F14">
        <f>COUNTIFS(MainDB[Email Address],'Individual Submission'!$B14,MainDB[Month], "February")</f>
        <v>0</v>
      </c>
      <c r="G14">
        <f>COUNTIFS(MainDB[Email Address],'Individual Submission'!$B14,MainDB[Month], "March")</f>
        <v>1</v>
      </c>
      <c r="H14">
        <f>COUNTIFS(MainDB[Email Address],'Individual Submission'!$B14,MainDB[Month], "April")</f>
        <v>0</v>
      </c>
      <c r="I14">
        <f>COUNTIFS(MainDB[Email Address],'Individual Submission'!$B14,MainDB[Month], "May")</f>
        <v>0</v>
      </c>
      <c r="J14">
        <f>COUNTIFS(MainDB[Email Address],'Individual Submission'!$B14,MainDB[Month], "June")</f>
        <v>0</v>
      </c>
      <c r="K14">
        <f>COUNTIFS(MainDB[Email Address],'Individual Submission'!$B14,MainDB[Month], "July")</f>
        <v>0</v>
      </c>
      <c r="L14">
        <f>COUNTIFS(MainDB[Email Address],'Individual Submission'!$B14,MainDB[Month], "August")</f>
        <v>0</v>
      </c>
      <c r="M14">
        <f>COUNTIFS(MainDB[Email Address],'Individual Submission'!$B14,MainDB[Month], "September")</f>
        <v>0</v>
      </c>
      <c r="N14">
        <f>COUNTIFS(MainDB[Email Address],'Individual Submission'!$B14,MainDB[Month], "October")</f>
        <v>0</v>
      </c>
      <c r="O14">
        <f>COUNTIFS(MainDB[Email Address],'Individual Submission'!$B14,MainDB[Month], "November")</f>
        <v>0</v>
      </c>
      <c r="P14">
        <f>COUNTIFS(MainDB[Email Address],'Individual Submission'!$B14,MainDB[Month], "December")</f>
        <v>0</v>
      </c>
      <c r="Q14">
        <f t="shared" si="0"/>
        <v>1</v>
      </c>
    </row>
    <row r="15" spans="1:17" x14ac:dyDescent="0.2">
      <c r="A15">
        <v>14</v>
      </c>
      <c r="B15" s="12" t="s">
        <v>301</v>
      </c>
      <c r="C15" t="str">
        <f>_xlfn.XLOOKUP($B15, MainDB[Email Address], MainDB[Worker''s Full Name],,0)</f>
        <v>Oluyemi Promise</v>
      </c>
      <c r="D15" t="str">
        <f>_xlfn.XLOOKUP($B15, MainDB[Email Address], MainDB[Branch],,0)</f>
        <v>University of Ilesa, Osun State</v>
      </c>
      <c r="E15">
        <f>COUNTIFS(MainDB[Email Address],'Individual Submission'!$B15,MainDB[Month], "January")</f>
        <v>0</v>
      </c>
      <c r="F15">
        <f>COUNTIFS(MainDB[Email Address],'Individual Submission'!$B15,MainDB[Month], "February")</f>
        <v>0</v>
      </c>
      <c r="G15">
        <f>COUNTIFS(MainDB[Email Address],'Individual Submission'!$B15,MainDB[Month], "March")</f>
        <v>3</v>
      </c>
      <c r="H15">
        <f>COUNTIFS(MainDB[Email Address],'Individual Submission'!$B15,MainDB[Month], "April")</f>
        <v>0</v>
      </c>
      <c r="I15">
        <f>COUNTIFS(MainDB[Email Address],'Individual Submission'!$B15,MainDB[Month], "May")</f>
        <v>0</v>
      </c>
      <c r="J15">
        <f>COUNTIFS(MainDB[Email Address],'Individual Submission'!$B15,MainDB[Month], "June")</f>
        <v>0</v>
      </c>
      <c r="K15">
        <f>COUNTIFS(MainDB[Email Address],'Individual Submission'!$B15,MainDB[Month], "July")</f>
        <v>0</v>
      </c>
      <c r="L15">
        <f>COUNTIFS(MainDB[Email Address],'Individual Submission'!$B15,MainDB[Month], "August")</f>
        <v>0</v>
      </c>
      <c r="M15">
        <f>COUNTIFS(MainDB[Email Address],'Individual Submission'!$B15,MainDB[Month], "September")</f>
        <v>0</v>
      </c>
      <c r="N15">
        <f>COUNTIFS(MainDB[Email Address],'Individual Submission'!$B15,MainDB[Month], "October")</f>
        <v>0</v>
      </c>
      <c r="O15">
        <f>COUNTIFS(MainDB[Email Address],'Individual Submission'!$B15,MainDB[Month], "November")</f>
        <v>0</v>
      </c>
      <c r="P15">
        <f>COUNTIFS(MainDB[Email Address],'Individual Submission'!$B15,MainDB[Month], "December")</f>
        <v>0</v>
      </c>
      <c r="Q15">
        <f t="shared" si="0"/>
        <v>3</v>
      </c>
    </row>
    <row r="16" spans="1:17" x14ac:dyDescent="0.2">
      <c r="A16">
        <v>15</v>
      </c>
      <c r="B16" s="12" t="s">
        <v>327</v>
      </c>
      <c r="C16" t="str">
        <f>_xlfn.XLOOKUP($B16, MainDB[Email Address], MainDB[Worker''s Full Name],,0)</f>
        <v>Owolabi Mary</v>
      </c>
      <c r="D16" t="str">
        <f>_xlfn.XLOOKUP($B16, MainDB[Email Address], MainDB[Branch],,0)</f>
        <v>Health Tech Bolorunduro, Ilesa, Osun State</v>
      </c>
      <c r="E16">
        <f>COUNTIFS(MainDB[Email Address],'Individual Submission'!$B16,MainDB[Month], "January")</f>
        <v>0</v>
      </c>
      <c r="F16">
        <f>COUNTIFS(MainDB[Email Address],'Individual Submission'!$B16,MainDB[Month], "February")</f>
        <v>0</v>
      </c>
      <c r="G16">
        <f>COUNTIFS(MainDB[Email Address],'Individual Submission'!$B16,MainDB[Month], "March")</f>
        <v>3</v>
      </c>
      <c r="H16">
        <f>COUNTIFS(MainDB[Email Address],'Individual Submission'!$B16,MainDB[Month], "April")</f>
        <v>0</v>
      </c>
      <c r="I16">
        <f>COUNTIFS(MainDB[Email Address],'Individual Submission'!$B16,MainDB[Month], "May")</f>
        <v>0</v>
      </c>
      <c r="J16">
        <f>COUNTIFS(MainDB[Email Address],'Individual Submission'!$B16,MainDB[Month], "June")</f>
        <v>0</v>
      </c>
      <c r="K16">
        <f>COUNTIFS(MainDB[Email Address],'Individual Submission'!$B16,MainDB[Month], "July")</f>
        <v>0</v>
      </c>
      <c r="L16">
        <f>COUNTIFS(MainDB[Email Address],'Individual Submission'!$B16,MainDB[Month], "August")</f>
        <v>0</v>
      </c>
      <c r="M16">
        <f>COUNTIFS(MainDB[Email Address],'Individual Submission'!$B16,MainDB[Month], "September")</f>
        <v>2</v>
      </c>
      <c r="N16">
        <f>COUNTIFS(MainDB[Email Address],'Individual Submission'!$B16,MainDB[Month], "October")</f>
        <v>0</v>
      </c>
      <c r="O16">
        <f>COUNTIFS(MainDB[Email Address],'Individual Submission'!$B16,MainDB[Month], "November")</f>
        <v>1</v>
      </c>
      <c r="P16">
        <f>COUNTIFS(MainDB[Email Address],'Individual Submission'!$B16,MainDB[Month], "December")</f>
        <v>0</v>
      </c>
      <c r="Q16">
        <f t="shared" si="0"/>
        <v>6</v>
      </c>
    </row>
    <row r="17" spans="1:17" x14ac:dyDescent="0.2">
      <c r="A17">
        <v>16</v>
      </c>
      <c r="B17" s="12" t="s">
        <v>395</v>
      </c>
      <c r="C17" t="str">
        <f>_xlfn.XLOOKUP($B17, MainDB[Email Address], MainDB[Worker''s Full Name],,0)</f>
        <v>Adefokun Timileyin Victoria</v>
      </c>
      <c r="D17" t="str">
        <f>_xlfn.XLOOKUP($B17, MainDB[Email Address], MainDB[Branch],,0)</f>
        <v>Ipetu-Ijesha, Osun State</v>
      </c>
      <c r="E17">
        <f>COUNTIFS(MainDB[Email Address],'Individual Submission'!$B17,MainDB[Month], "January")</f>
        <v>0</v>
      </c>
      <c r="F17">
        <f>COUNTIFS(MainDB[Email Address],'Individual Submission'!$B17,MainDB[Month], "February")</f>
        <v>0</v>
      </c>
      <c r="G17">
        <f>COUNTIFS(MainDB[Email Address],'Individual Submission'!$B17,MainDB[Month], "March")</f>
        <v>1</v>
      </c>
      <c r="H17">
        <f>COUNTIFS(MainDB[Email Address],'Individual Submission'!$B17,MainDB[Month], "April")</f>
        <v>0</v>
      </c>
      <c r="I17">
        <f>COUNTIFS(MainDB[Email Address],'Individual Submission'!$B17,MainDB[Month], "May")</f>
        <v>0</v>
      </c>
      <c r="J17">
        <f>COUNTIFS(MainDB[Email Address],'Individual Submission'!$B17,MainDB[Month], "June")</f>
        <v>0</v>
      </c>
      <c r="K17">
        <f>COUNTIFS(MainDB[Email Address],'Individual Submission'!$B17,MainDB[Month], "July")</f>
        <v>0</v>
      </c>
      <c r="L17">
        <f>COUNTIFS(MainDB[Email Address],'Individual Submission'!$B17,MainDB[Month], "August")</f>
        <v>0</v>
      </c>
      <c r="M17">
        <f>COUNTIFS(MainDB[Email Address],'Individual Submission'!$B17,MainDB[Month], "September")</f>
        <v>0</v>
      </c>
      <c r="N17">
        <f>COUNTIFS(MainDB[Email Address],'Individual Submission'!$B17,MainDB[Month], "October")</f>
        <v>0</v>
      </c>
      <c r="O17">
        <f>COUNTIFS(MainDB[Email Address],'Individual Submission'!$B17,MainDB[Month], "November")</f>
        <v>0</v>
      </c>
      <c r="P17">
        <f>COUNTIFS(MainDB[Email Address],'Individual Submission'!$B17,MainDB[Month], "December")</f>
        <v>0</v>
      </c>
      <c r="Q17">
        <f t="shared" si="0"/>
        <v>1</v>
      </c>
    </row>
    <row r="18" spans="1:17" ht="15.75" x14ac:dyDescent="0.25">
      <c r="B18" s="12"/>
      <c r="E18" s="13"/>
      <c r="F18" s="13"/>
      <c r="G18" s="13"/>
      <c r="H18" s="13"/>
      <c r="I18" s="13"/>
      <c r="J18" s="13"/>
      <c r="K18" s="13"/>
      <c r="L18" s="13"/>
      <c r="M18" s="13"/>
      <c r="N18" s="13"/>
      <c r="O18" s="13"/>
      <c r="P18" s="13"/>
      <c r="Q18" s="13"/>
    </row>
    <row r="19" spans="1:17" x14ac:dyDescent="0.2">
      <c r="B19" s="12"/>
    </row>
    <row r="26" spans="1:17" ht="15.75" x14ac:dyDescent="0.25">
      <c r="Q26" s="13"/>
    </row>
  </sheetData>
  <sheetProtection algorithmName="SHA-512" hashValue="o3vrgFnzdCVYrVJnizO0O0fjwsERqyIw0wRhOIVrTRMlUPaYhbSbRzR96T6ZnhBqqZKl1E9QiwgvxL8ZFanc9A==" saltValue="4niV42uSu6buhkLKl6YDLA==" spinCount="100000" sheet="1" objects="1" scenarios="1"/>
  <phoneticPr fontId="8"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E1C33-6DE1-470E-8E83-815593DF4B43}">
  <dimension ref="A1:N6"/>
  <sheetViews>
    <sheetView workbookViewId="0">
      <selection activeCell="H29" sqref="H29"/>
    </sheetView>
  </sheetViews>
  <sheetFormatPr defaultRowHeight="12.75" x14ac:dyDescent="0.2"/>
  <cols>
    <col min="1" max="1" width="37.7109375" bestFit="1" customWidth="1"/>
    <col min="2" max="2" width="6.5703125" bestFit="1" customWidth="1"/>
    <col min="3" max="4" width="6.7109375" bestFit="1" customWidth="1"/>
    <col min="5" max="5" width="6.42578125" bestFit="1" customWidth="1"/>
    <col min="6" max="6" width="7" bestFit="1" customWidth="1"/>
    <col min="7" max="7" width="6.5703125" bestFit="1" customWidth="1"/>
    <col min="8" max="8" width="6" bestFit="1" customWidth="1"/>
    <col min="9" max="10" width="6.85546875" bestFit="1" customWidth="1"/>
    <col min="11" max="11" width="6.28515625" bestFit="1" customWidth="1"/>
    <col min="12" max="13" width="6.7109375" bestFit="1" customWidth="1"/>
    <col min="14" max="14" width="18.5703125" bestFit="1" customWidth="1"/>
  </cols>
  <sheetData>
    <row r="1" spans="1:14" x14ac:dyDescent="0.2">
      <c r="A1" s="14" t="s">
        <v>4</v>
      </c>
      <c r="B1" s="10" t="s">
        <v>708</v>
      </c>
      <c r="C1" s="10" t="s">
        <v>709</v>
      </c>
      <c r="D1" s="10" t="s">
        <v>710</v>
      </c>
      <c r="E1" s="10" t="s">
        <v>711</v>
      </c>
      <c r="F1" s="10" t="s">
        <v>712</v>
      </c>
      <c r="G1" s="10" t="s">
        <v>713</v>
      </c>
      <c r="H1" s="10" t="s">
        <v>714</v>
      </c>
      <c r="I1" s="10" t="s">
        <v>715</v>
      </c>
      <c r="J1" s="10" t="s">
        <v>716</v>
      </c>
      <c r="K1" s="10" t="s">
        <v>717</v>
      </c>
      <c r="L1" s="10" t="s">
        <v>718</v>
      </c>
      <c r="M1" s="10" t="s">
        <v>719</v>
      </c>
      <c r="N1" s="10" t="s">
        <v>754</v>
      </c>
    </row>
    <row r="2" spans="1:14" x14ac:dyDescent="0.2">
      <c r="A2" t="s">
        <v>707</v>
      </c>
      <c r="B2">
        <f>COUNTIFS(MainDB[Branch],'Branch Submission'!$A2,MainDB[Month], "January")</f>
        <v>2</v>
      </c>
      <c r="C2">
        <f>COUNTIFS(MainDB[Branch],'Branch Submission'!$A2,MainDB[Month], "February")</f>
        <v>3</v>
      </c>
      <c r="D2">
        <f>COUNTIFS(MainDB[Branch],'Branch Submission'!$A2,MainDB[Month], "March")</f>
        <v>20</v>
      </c>
      <c r="E2">
        <f>COUNTIFS(MainDB[Branch],'Branch Submission'!$A2,MainDB[Month], "April")</f>
        <v>3</v>
      </c>
      <c r="F2">
        <f>COUNTIFS(MainDB[Branch],'Branch Submission'!$A2,MainDB[Month], "May")</f>
        <v>0</v>
      </c>
      <c r="G2">
        <f>COUNTIFS(MainDB[Branch],'Branch Submission'!$A2,MainDB[Month], "June")</f>
        <v>12</v>
      </c>
      <c r="H2">
        <f>COUNTIFS(MainDB[Branch],'Branch Submission'!$A2,MainDB[Month], "July")</f>
        <v>0</v>
      </c>
      <c r="I2">
        <f>COUNTIFS(MainDB[Branch],'Branch Submission'!$A2,MainDB[Month], "August")</f>
        <v>0</v>
      </c>
      <c r="J2">
        <f>COUNTIFS(MainDB[Branch],'Branch Submission'!$A2,MainDB[Month], "September")</f>
        <v>4</v>
      </c>
      <c r="K2">
        <f>COUNTIFS(MainDB[Branch],'Branch Submission'!$A2,MainDB[Month], "October")</f>
        <v>1</v>
      </c>
      <c r="L2">
        <f>COUNTIFS(MainDB[Branch],'Branch Submission'!$A2,MainDB[Month], "November")</f>
        <v>3</v>
      </c>
      <c r="M2">
        <f>COUNTIFS(MainDB[Branch],'Branch Submission'!$A2,MainDB[Month], "December")</f>
        <v>0</v>
      </c>
      <c r="N2">
        <f>SUM(B2:M2)</f>
        <v>48</v>
      </c>
    </row>
    <row r="3" spans="1:14" x14ac:dyDescent="0.2">
      <c r="A3" t="s">
        <v>40</v>
      </c>
      <c r="B3">
        <f>COUNTIFS(MainDB[Branch],'Branch Submission'!$A3,MainDB[Month], "January")</f>
        <v>1</v>
      </c>
      <c r="C3">
        <f>COUNTIFS(MainDB[Branch],'Branch Submission'!$A3,MainDB[Month], "February")</f>
        <v>0</v>
      </c>
      <c r="D3">
        <f>COUNTIFS(MainDB[Branch],'Branch Submission'!$A3,MainDB[Month], "March")</f>
        <v>2</v>
      </c>
      <c r="E3">
        <f>COUNTIFS(MainDB[Branch],'Branch Submission'!$A3,MainDB[Month], "April")</f>
        <v>0</v>
      </c>
      <c r="F3">
        <f>COUNTIFS(MainDB[Branch],'Branch Submission'!$A3,MainDB[Month], "May")</f>
        <v>0</v>
      </c>
      <c r="G3">
        <f>COUNTIFS(MainDB[Branch],'Branch Submission'!$A3,MainDB[Month], "June")</f>
        <v>0</v>
      </c>
      <c r="H3">
        <f>COUNTIFS(MainDB[Branch],'Branch Submission'!$A3,MainDB[Month], "July")</f>
        <v>0</v>
      </c>
      <c r="I3">
        <f>COUNTIFS(MainDB[Branch],'Branch Submission'!$A3,MainDB[Month], "August")</f>
        <v>0</v>
      </c>
      <c r="J3">
        <f>COUNTIFS(MainDB[Branch],'Branch Submission'!$A3,MainDB[Month], "September")</f>
        <v>0</v>
      </c>
      <c r="K3">
        <f>COUNTIFS(MainDB[Branch],'Branch Submission'!$A3,MainDB[Month], "October")</f>
        <v>0</v>
      </c>
      <c r="L3">
        <f>COUNTIFS(MainDB[Branch],'Branch Submission'!$A3,MainDB[Month], "November")</f>
        <v>0</v>
      </c>
      <c r="M3">
        <f>COUNTIFS(MainDB[Branch],'Branch Submission'!$A3,MainDB[Month], "December")</f>
        <v>0</v>
      </c>
      <c r="N3">
        <f>SUM(B3:M3)</f>
        <v>3</v>
      </c>
    </row>
    <row r="4" spans="1:14" x14ac:dyDescent="0.2">
      <c r="A4" t="s">
        <v>65</v>
      </c>
      <c r="B4">
        <f>COUNTIFS(MainDB[Branch],'Branch Submission'!$A4,MainDB[Month], "January")</f>
        <v>0</v>
      </c>
      <c r="C4">
        <f>COUNTIFS(MainDB[Branch],'Branch Submission'!$A4,MainDB[Month], "February")</f>
        <v>2</v>
      </c>
      <c r="D4">
        <f>COUNTIFS(MainDB[Branch],'Branch Submission'!$A4,MainDB[Month], "March")</f>
        <v>9</v>
      </c>
      <c r="E4">
        <f>COUNTIFS(MainDB[Branch],'Branch Submission'!$A4,MainDB[Month], "April")</f>
        <v>0</v>
      </c>
      <c r="F4">
        <f>COUNTIFS(MainDB[Branch],'Branch Submission'!$A4,MainDB[Month], "May")</f>
        <v>0</v>
      </c>
      <c r="G4">
        <f>COUNTIFS(MainDB[Branch],'Branch Submission'!$A4,MainDB[Month], "June")</f>
        <v>4</v>
      </c>
      <c r="H4">
        <f>COUNTIFS(MainDB[Branch],'Branch Submission'!$A4,MainDB[Month], "July")</f>
        <v>0</v>
      </c>
      <c r="I4">
        <f>COUNTIFS(MainDB[Branch],'Branch Submission'!$A4,MainDB[Month], "August")</f>
        <v>0</v>
      </c>
      <c r="J4">
        <f>COUNTIFS(MainDB[Branch],'Branch Submission'!$A4,MainDB[Month], "September")</f>
        <v>2</v>
      </c>
      <c r="K4">
        <f>COUNTIFS(MainDB[Branch],'Branch Submission'!$A4,MainDB[Month], "October")</f>
        <v>0</v>
      </c>
      <c r="L4">
        <f>COUNTIFS(MainDB[Branch],'Branch Submission'!$A4,MainDB[Month], "November")</f>
        <v>2</v>
      </c>
      <c r="M4">
        <f>COUNTIFS(MainDB[Branch],'Branch Submission'!$A4,MainDB[Month], "December")</f>
        <v>0</v>
      </c>
      <c r="N4">
        <f>SUM(B4:M4)</f>
        <v>19</v>
      </c>
    </row>
    <row r="5" spans="1:14" x14ac:dyDescent="0.2">
      <c r="A5" t="s">
        <v>75</v>
      </c>
      <c r="B5">
        <f>COUNTIFS(MainDB[Branch],'Branch Submission'!$A5,MainDB[Month], "January")</f>
        <v>2</v>
      </c>
      <c r="C5">
        <f>COUNTIFS(MainDB[Branch],'Branch Submission'!$A5,MainDB[Month], "February")</f>
        <v>1</v>
      </c>
      <c r="D5">
        <f>COUNTIFS(MainDB[Branch],'Branch Submission'!$A5,MainDB[Month], "March")</f>
        <v>0</v>
      </c>
      <c r="E5">
        <f>COUNTIFS(MainDB[Branch],'Branch Submission'!$A5,MainDB[Month], "April")</f>
        <v>0</v>
      </c>
      <c r="F5">
        <f>COUNTIFS(MainDB[Branch],'Branch Submission'!$A5,MainDB[Month], "May")</f>
        <v>0</v>
      </c>
      <c r="G5">
        <f>COUNTIFS(MainDB[Branch],'Branch Submission'!$A5,MainDB[Month], "June")</f>
        <v>0</v>
      </c>
      <c r="H5">
        <f>COUNTIFS(MainDB[Branch],'Branch Submission'!$A5,MainDB[Month], "July")</f>
        <v>0</v>
      </c>
      <c r="I5">
        <f>COUNTIFS(MainDB[Branch],'Branch Submission'!$A5,MainDB[Month], "August")</f>
        <v>0</v>
      </c>
      <c r="J5">
        <f>COUNTIFS(MainDB[Branch],'Branch Submission'!$A5,MainDB[Month], "September")</f>
        <v>0</v>
      </c>
      <c r="K5">
        <f>COUNTIFS(MainDB[Branch],'Branch Submission'!$A5,MainDB[Month], "October")</f>
        <v>0</v>
      </c>
      <c r="L5">
        <f>COUNTIFS(MainDB[Branch],'Branch Submission'!$A5,MainDB[Month], "November")</f>
        <v>0</v>
      </c>
      <c r="M5">
        <f>COUNTIFS(MainDB[Branch],'Branch Submission'!$A5,MainDB[Month], "December")</f>
        <v>0</v>
      </c>
      <c r="N5">
        <f>SUM(B5:M5)</f>
        <v>3</v>
      </c>
    </row>
    <row r="6" spans="1:14" x14ac:dyDescent="0.2">
      <c r="A6" t="s">
        <v>89</v>
      </c>
      <c r="B6">
        <f>COUNTIFS(MainDB[Branch],'Branch Submission'!$A6,MainDB[Month], "January")</f>
        <v>0</v>
      </c>
      <c r="C6">
        <f>COUNTIFS(MainDB[Branch],'Branch Submission'!$A6,MainDB[Month], "February")</f>
        <v>1</v>
      </c>
      <c r="D6">
        <f>COUNTIFS(MainDB[Branch],'Branch Submission'!$A6,MainDB[Month], "March")</f>
        <v>5</v>
      </c>
      <c r="E6">
        <f>COUNTIFS(MainDB[Branch],'Branch Submission'!$A6,MainDB[Month], "April")</f>
        <v>0</v>
      </c>
      <c r="F6">
        <f>COUNTIFS(MainDB[Branch],'Branch Submission'!$A6,MainDB[Month], "May")</f>
        <v>0</v>
      </c>
      <c r="G6">
        <f>COUNTIFS(MainDB[Branch],'Branch Submission'!$A6,MainDB[Month], "June")</f>
        <v>6</v>
      </c>
      <c r="H6">
        <f>COUNTIFS(MainDB[Branch],'Branch Submission'!$A6,MainDB[Month], "July")</f>
        <v>0</v>
      </c>
      <c r="I6">
        <f>COUNTIFS(MainDB[Branch],'Branch Submission'!$A6,MainDB[Month], "August")</f>
        <v>0</v>
      </c>
      <c r="J6">
        <f>COUNTIFS(MainDB[Branch],'Branch Submission'!$A6,MainDB[Month], "September")</f>
        <v>4</v>
      </c>
      <c r="K6">
        <f>COUNTIFS(MainDB[Branch],'Branch Submission'!$A6,MainDB[Month], "October")</f>
        <v>0</v>
      </c>
      <c r="L6">
        <f>COUNTIFS(MainDB[Branch],'Branch Submission'!$A6,MainDB[Month], "November")</f>
        <v>3</v>
      </c>
      <c r="M6">
        <f>COUNTIFS(MainDB[Branch],'Branch Submission'!$A6,MainDB[Month], "December")</f>
        <v>0</v>
      </c>
      <c r="N6">
        <f>SUM(B6:M6)</f>
        <v>19</v>
      </c>
    </row>
  </sheetData>
  <sheetProtection algorithmName="SHA-512" hashValue="r7+5cSkSEmgKZoFvLUbOGeTYLj0rlEQ94ttUozoTdt6DdAWjcaydW2kXUE8ZklwRaqTTTklEot27aKoEH+2Txg==" saltValue="PwdKZtG0HxjGET7cp6syQg==" spinCount="100000" sheet="1" objects="1" scenarios="1"/>
  <phoneticPr fontId="12" type="noConversion"/>
  <pageMargins left="0.7" right="0.7" top="0.75" bottom="0.75" header="0.3" footer="0.3"/>
  <ignoredErrors>
    <ignoredError sqref="B2" calculatedColumn="1"/>
  </ignoredErrors>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620E3-BD04-4CFA-B4CA-7ABCFB8B8620}">
  <dimension ref="A1:B14"/>
  <sheetViews>
    <sheetView tabSelected="1" workbookViewId="0"/>
  </sheetViews>
  <sheetFormatPr defaultRowHeight="12.75" x14ac:dyDescent="0.2"/>
  <cols>
    <col min="1" max="1" width="10" bestFit="1" customWidth="1"/>
    <col min="2" max="2" width="18.85546875" customWidth="1"/>
  </cols>
  <sheetData>
    <row r="1" spans="1:2" x14ac:dyDescent="0.2">
      <c r="A1" s="10" t="s">
        <v>1</v>
      </c>
      <c r="B1" s="10" t="s">
        <v>758</v>
      </c>
    </row>
    <row r="2" spans="1:2" x14ac:dyDescent="0.2">
      <c r="A2" t="s">
        <v>23</v>
      </c>
      <c r="B2">
        <f>SUM(BranchDB[Jan])</f>
        <v>5</v>
      </c>
    </row>
    <row r="3" spans="1:2" x14ac:dyDescent="0.2">
      <c r="A3" t="s">
        <v>63</v>
      </c>
      <c r="B3">
        <f>SUM(BranchDB[Feb])</f>
        <v>7</v>
      </c>
    </row>
    <row r="4" spans="1:2" x14ac:dyDescent="0.2">
      <c r="A4" t="s">
        <v>158</v>
      </c>
      <c r="B4">
        <f>SUM(BranchDB[Mar])</f>
        <v>36</v>
      </c>
    </row>
    <row r="5" spans="1:2" x14ac:dyDescent="0.2">
      <c r="A5" t="s">
        <v>421</v>
      </c>
      <c r="B5">
        <f>SUM(BranchDB[Apr])</f>
        <v>3</v>
      </c>
    </row>
    <row r="6" spans="1:2" x14ac:dyDescent="0.2">
      <c r="A6" t="s">
        <v>712</v>
      </c>
      <c r="B6">
        <f>SUM(BranchDB[May])</f>
        <v>0</v>
      </c>
    </row>
    <row r="7" spans="1:2" x14ac:dyDescent="0.2">
      <c r="A7" t="s">
        <v>444</v>
      </c>
      <c r="B7">
        <f>SUM(BranchDB[Jun])</f>
        <v>22</v>
      </c>
    </row>
    <row r="8" spans="1:2" x14ac:dyDescent="0.2">
      <c r="A8" t="s">
        <v>755</v>
      </c>
      <c r="B8">
        <f>SUM(BranchDB[Jul])</f>
        <v>0</v>
      </c>
    </row>
    <row r="9" spans="1:2" x14ac:dyDescent="0.2">
      <c r="A9" t="s">
        <v>756</v>
      </c>
      <c r="B9">
        <f>SUM(BranchDB[Aug])</f>
        <v>0</v>
      </c>
    </row>
    <row r="10" spans="1:2" x14ac:dyDescent="0.2">
      <c r="A10" t="s">
        <v>580</v>
      </c>
      <c r="B10">
        <f>SUM(BranchDB[Sep])</f>
        <v>10</v>
      </c>
    </row>
    <row r="11" spans="1:2" x14ac:dyDescent="0.2">
      <c r="A11" t="s">
        <v>645</v>
      </c>
      <c r="B11">
        <f>SUM(BranchDB[Oct])</f>
        <v>1</v>
      </c>
    </row>
    <row r="12" spans="1:2" x14ac:dyDescent="0.2">
      <c r="A12" t="s">
        <v>652</v>
      </c>
      <c r="B12">
        <f>SUM(BranchDB[Nov])</f>
        <v>8</v>
      </c>
    </row>
    <row r="13" spans="1:2" x14ac:dyDescent="0.2">
      <c r="A13" t="s">
        <v>757</v>
      </c>
      <c r="B13">
        <f>SUM(BranchDB[Dec])</f>
        <v>0</v>
      </c>
    </row>
    <row r="14" spans="1:2" x14ac:dyDescent="0.2">
      <c r="A14" t="s">
        <v>720</v>
      </c>
      <c r="B14">
        <f>SUM($B$2:$B$13)</f>
        <v>92</v>
      </c>
    </row>
  </sheetData>
  <sheetProtection algorithmName="SHA-512" hashValue="HkHAvpxBvqCgSf0/cPRn3vwKM5ZPS/6sDcCQtNseAlpQVFl8+EEnddJQXUT6Htue8P8bOd4XCqjO/83O3/QSAw==" saltValue="wg/Y7JmdcZXIH1egAU22+Q==" spinCount="100000" sheet="1" objects="1" scenarios="1"/>
  <phoneticPr fontId="8" type="noConversion"/>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32FCC-1F93-4C90-8319-B0B52D83CE89}">
  <dimension ref="A1"/>
  <sheetViews>
    <sheetView showGridLines="0" showRowColHeaders="0" zoomScale="90" zoomScaleNormal="90" workbookViewId="0">
      <selection activeCell="X9" sqref="X9"/>
    </sheetView>
  </sheetViews>
  <sheetFormatPr defaultRowHeight="12.75" x14ac:dyDescent="0.2"/>
  <sheetData/>
  <sheetProtection algorithmName="SHA-512" hashValue="W7BzfP206RawKTNyItzOkzLaTEHsfvpZzng6LdMpmkqpZE0fUS5oue1+HxnaCl1SqwJDu74inqnVbL/5yMCP2g==" saltValue="A9P2NqnHlfzgNTKEsSQyiA==" spinCount="100000" sheet="1" objects="1" scenarios="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2025 DWR Respondents</vt:lpstr>
      <vt:lpstr>Individual Submission</vt:lpstr>
      <vt:lpstr>Branch Submission</vt:lpstr>
      <vt:lpstr>Monthly Submission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EmyCodes</dc:creator>
  <cp:lastModifiedBy>Olamide Emmanuel Ogundare</cp:lastModifiedBy>
  <cp:lastPrinted>2026-01-21T22:54:42Z</cp:lastPrinted>
  <dcterms:created xsi:type="dcterms:W3CDTF">2026-01-21T23:36:14Z</dcterms:created>
  <dcterms:modified xsi:type="dcterms:W3CDTF">2026-01-22T01:18:19Z</dcterms:modified>
</cp:coreProperties>
</file>